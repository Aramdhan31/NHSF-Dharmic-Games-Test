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LZ" sheetId="2" r:id="rId5"/>
    <sheet state="visible" name="SZ" sheetId="3" r:id="rId6"/>
    <sheet state="visible" name="Confirmed Teams" sheetId="4" r:id="rId7"/>
  </sheets>
  <definedNames>
    <definedName hidden="1" localSheetId="1" name="_xlnm._FilterDatabase">LZ!$A$1:$P$1000</definedName>
    <definedName hidden="1" localSheetId="2" name="_xlnm._FilterDatabase">SZ!$A$1:$P$1000</definedName>
  </definedNames>
  <calcPr/>
</workbook>
</file>

<file path=xl/sharedStrings.xml><?xml version="1.0" encoding="utf-8"?>
<sst xmlns="http://schemas.openxmlformats.org/spreadsheetml/2006/main" count="305" uniqueCount="180">
  <si>
    <t>Timestamp</t>
  </si>
  <si>
    <t>Full Name</t>
  </si>
  <si>
    <t>What is your role on committee?</t>
  </si>
  <si>
    <t>Please select your Zone</t>
  </si>
  <si>
    <t>Please select your chapter</t>
  </si>
  <si>
    <t>Please select the sport for which you would like to submit a team list</t>
  </si>
  <si>
    <t>First point of contact email address</t>
  </si>
  <si>
    <t>First point of contact phone number</t>
  </si>
  <si>
    <t>Second point of contact email address</t>
  </si>
  <si>
    <t>Second point of contact phone number</t>
  </si>
  <si>
    <t>Any additional information/queries?</t>
  </si>
  <si>
    <t>Are you excited?</t>
  </si>
  <si>
    <t>Aryan Jain</t>
  </si>
  <si>
    <t xml:space="preserve">President </t>
  </si>
  <si>
    <t>South</t>
  </si>
  <si>
    <t>Cardiff</t>
  </si>
  <si>
    <t>Badminton A (Mixed Doubles - no subs) - £18, 𝗔𝗠, Badminton B (Mixed Doubles - no subs) - £18, 𝗔𝗠, Kho Kho A (Mixed 9 + 2 subs - min 2 of each gender) - £33, 𝗔𝗠, Netball A (Womens 7 + 3 subs) - £33, 𝗣𝗠, Football A (Mens 5 + 3 subs) - £33, 𝗣𝗠</t>
  </si>
  <si>
    <t>Nhsfcardiff@gmail.com</t>
  </si>
  <si>
    <t>07419741154</t>
  </si>
  <si>
    <t>Aryanjainuk@gmail.com</t>
  </si>
  <si>
    <t>+44 7488 320075</t>
  </si>
  <si>
    <t>Yes 🔥</t>
  </si>
  <si>
    <t>Rishi Amin</t>
  </si>
  <si>
    <t xml:space="preserve">Co-President </t>
  </si>
  <si>
    <t>Bristol</t>
  </si>
  <si>
    <t>Badminton A (Mixed Doubles - no subs) - £18, 𝗔𝗠, Badminton B (Mixed Doubles - no subs) - £18, 𝗔𝗠, Kho Kho A (Mixed 9 + 2 subs - min 2 of each gender) - £33, 𝗔𝗠, Kho Kho B (Mixed 9 + 2 subs - min 2 of each gender) - £33, 𝗔𝗠, Football A (Mens 5 + 3 subs) - £33, 𝗣𝗠</t>
  </si>
  <si>
    <t>Nhsfbristol@gmail.com</t>
  </si>
  <si>
    <t>07435665560</t>
  </si>
  <si>
    <t>qs22114@bristol.ac.uk</t>
  </si>
  <si>
    <t>+44 7510 329586</t>
  </si>
  <si>
    <t>Riya Sareen</t>
  </si>
  <si>
    <t>Head of Sports</t>
  </si>
  <si>
    <t>London</t>
  </si>
  <si>
    <t>KCL</t>
  </si>
  <si>
    <t>Badminton A (Mixed Doubles - no subs) - £18, 𝗔𝗠, Football A (Mens 5 + 3 subs) - £33, 𝗣𝗠, Kabaddi A (Mens 7 + 2 Subs) - £33, 𝗣𝗠</t>
  </si>
  <si>
    <t>riyasareen06@gmail.com</t>
  </si>
  <si>
    <t>07790092007</t>
  </si>
  <si>
    <t>Akshat Sharma</t>
  </si>
  <si>
    <t>+44 7847 354228</t>
  </si>
  <si>
    <t>Priya Patel</t>
  </si>
  <si>
    <t>Essex</t>
  </si>
  <si>
    <t>Badminton B (Mixed Doubles - no subs) - £18, 𝗔𝗠, Football B (Mens 5 + 3 subs) - £33, 𝗣𝗠</t>
  </si>
  <si>
    <t>Aakashsainixko@gmail.com</t>
  </si>
  <si>
    <t>07588 150649</t>
  </si>
  <si>
    <t>patel2004priya@gmail.com</t>
  </si>
  <si>
    <t>07466315973</t>
  </si>
  <si>
    <t>Hanisha Patel</t>
  </si>
  <si>
    <t xml:space="preserve">Sports Coordinator </t>
  </si>
  <si>
    <t>UCL</t>
  </si>
  <si>
    <t>Badminton A (Mixed Doubles - no subs) - £18, 𝗔𝗠, Kho Kho A (Mixed 9 + 2 subs - min 2 of each gender) - £33, 𝗔𝗠, Netball A (Womens 7 + 3 subs) - £33, 𝗣𝗠, Football A (Mens 5 + 3 subs) - £33, 𝗣𝗠</t>
  </si>
  <si>
    <t>hanishapatel12@gmail.com</t>
  </si>
  <si>
    <t>07909369366</t>
  </si>
  <si>
    <t>suhani.bapat.24@ucl.ac.uk</t>
  </si>
  <si>
    <t>07849779264</t>
  </si>
  <si>
    <t>Boshupriyo Bijan Mandal</t>
  </si>
  <si>
    <t xml:space="preserve">Sport coordinator </t>
  </si>
  <si>
    <t>Brunel</t>
  </si>
  <si>
    <t>Badminton A (Mixed Doubles - no subs) - £18, 𝗔𝗠, Kho Kho B (Mixed 9 + 2 subs - min 2 of each gender) - £33, 𝗔𝗠, Netball A (Womens 7 + 3 subs) - £33, 𝗣𝗠, Football B (Mens 5 + 3 subs) - £33, 𝗣𝗠</t>
  </si>
  <si>
    <t>20boshu05@gmail.com</t>
  </si>
  <si>
    <t>07488275942</t>
  </si>
  <si>
    <t>Nikita Biju</t>
  </si>
  <si>
    <t>Sport</t>
  </si>
  <si>
    <t>LSE</t>
  </si>
  <si>
    <t>Badminton A (Mixed Doubles - no subs) - £18, 𝗔𝗠, Netball A (Womens 7 + 3 subs) - £33, 𝗣𝗠, Football A (Mens 5 + 3 subs) - £33, 𝗣𝗠, Kabaddi A (Mens 7 + 2 Subs) - £33, 𝗣𝗠, Kabaddi B (Mens 7 + 2 Subs) - £33, 𝗣𝗠</t>
  </si>
  <si>
    <t>nikitabiju2006@gmail.com</t>
  </si>
  <si>
    <t>07914152044</t>
  </si>
  <si>
    <t>siya.ambekar@me.com</t>
  </si>
  <si>
    <t>+44 7943 974119</t>
  </si>
  <si>
    <t>Of Course 🤩</t>
  </si>
  <si>
    <t>Mansi Shah</t>
  </si>
  <si>
    <t>Brighton &amp; Sussex</t>
  </si>
  <si>
    <t>Badminton A (Mixed Doubles - no subs) - £18, 𝗔𝗠, Football A (Mens 5 + 3 subs) - £33, 𝗣𝗠</t>
  </si>
  <si>
    <t>mansiben.shah2005@gmail.com</t>
  </si>
  <si>
    <t>07488551933</t>
  </si>
  <si>
    <t>yj250@sussex.ac.uk</t>
  </si>
  <si>
    <t>+91 99994 06000</t>
  </si>
  <si>
    <t>Thira Vekaria</t>
  </si>
  <si>
    <t xml:space="preserve">Sports coordinator </t>
  </si>
  <si>
    <t>QMUL</t>
  </si>
  <si>
    <t>Badminton A (Mixed Doubles - no subs) - £18, 𝗔𝗠, Kho Kho A (Mixed 9 + 2 subs - min 2 of each gender) - £33, 𝗔𝗠, Kho Kho B (Mixed 9 + 2 subs - min 2 of each gender) - £33, 𝗔𝗠</t>
  </si>
  <si>
    <t>thira_v@hotmail.com</t>
  </si>
  <si>
    <t>07368131098</t>
  </si>
  <si>
    <t>priyesh.shah512@gmail.com</t>
  </si>
  <si>
    <t>07716 113318</t>
  </si>
  <si>
    <t>Meera Malaiya</t>
  </si>
  <si>
    <t>Reading</t>
  </si>
  <si>
    <t>Badminton A (Mixed Doubles - no subs) - £18, 𝗔𝗠, Kho Kho A (Mixed 9 + 2 subs - min 2 of each gender) - £33, 𝗔𝗠, Football A (Mens 5 + 3 subs) - £33, 𝗣𝗠</t>
  </si>
  <si>
    <t>meeramalaiya@gmail.com</t>
  </si>
  <si>
    <t>07436377072</t>
  </si>
  <si>
    <t>aravindnachiappan@gmail.com</t>
  </si>
  <si>
    <t>07442426846</t>
  </si>
  <si>
    <t>-</t>
  </si>
  <si>
    <t xml:space="preserve">Dhanisha Patel </t>
  </si>
  <si>
    <t>City</t>
  </si>
  <si>
    <t xml:space="preserve">dhanisha.p155@gmail.com </t>
  </si>
  <si>
    <t xml:space="preserve">RishiSoni.686@gmail.com </t>
  </si>
  <si>
    <t xml:space="preserve">Karthik Venkatesh </t>
  </si>
  <si>
    <t>Imperial</t>
  </si>
  <si>
    <t>Badminton A (Mixed Doubles - no subs) - £18, 𝗔𝗠, Badminton B (Mixed Doubles - no subs) - £18, 𝗔𝗠, Kho Kho A (Mixed 9 + 2 subs - min 2 of each gender) - £33, 𝗔𝗠, Kho Kho B (Mixed 9 + 2 subs - min 2 of each gender) - £33, 𝗔𝗠, Football A (Mens 5 + 3 subs) - £33, 𝗣𝗠, Football B (Mens 5 + 3 subs) - £33, 𝗣𝗠, Kabaddi A (Mens 7 + 2 Subs) - £33, 𝗣𝗠, Kabaddi B (Mens 7 + 2 Subs) - £33, 𝗣𝗠</t>
  </si>
  <si>
    <t>karthik.venkatesh23@imperial.ac.uk</t>
  </si>
  <si>
    <t>07446108841</t>
  </si>
  <si>
    <t>neela.billur24@imperial.ac.uk</t>
  </si>
  <si>
    <t>7880 238120</t>
  </si>
  <si>
    <t>Badminton A (Mixed Doubles - no subs) - £18, 𝗔𝗠, Badminton B (Mixed Doubles - no subs) - £18, 𝗔𝗠, Netball A (Womens 7 + 3 subs) - £33, 𝗣𝗠, Football A (Mens 5 + 3 subs) - £33, 𝗣𝗠, Football B (Mens 5 + 3 subs) - £33, 𝗣𝗠</t>
  </si>
  <si>
    <t xml:space="preserve">Nikita Biju </t>
  </si>
  <si>
    <t>Badminton A (Mixed Doubles - no subs) - £18, 𝗔𝗠, Badminton B (Mixed Doubles - no subs) - £18, 𝗔𝗠, Netball A (Womens 7 + 3 subs) - £33, 𝗣𝗠, Football A (Mens 5 + 3 subs) - £33, 𝗣𝗠, Kabaddi A (Mens 7 + 2 Subs) - £33, 𝗣𝗠, Kabaddi B (Mens 7 + 2 Subs) - £33, 𝗣𝗠</t>
  </si>
  <si>
    <t>Tanay</t>
  </si>
  <si>
    <t>Sports</t>
  </si>
  <si>
    <t>Bath</t>
  </si>
  <si>
    <t>Tjr72@bath.ac.uk</t>
  </si>
  <si>
    <t>07876660950</t>
  </si>
  <si>
    <t>krutagnasuresh@gmail.com</t>
  </si>
  <si>
    <t>07721057836</t>
  </si>
  <si>
    <t>Varun Shivakumar</t>
  </si>
  <si>
    <t xml:space="preserve">Events Coordinator </t>
  </si>
  <si>
    <t>Royal Holloway</t>
  </si>
  <si>
    <t>Badminton A (Mixed Doubles - no subs) - £18, 𝗔𝗠, Kho Kho B (Mixed 9 + 2 subs - min 2 of each gender) - £33, 𝗔𝗠, Netball B (Womens 7 + 3 subs) - £33, 𝗣𝗠, Football A (Mens 5 + 3 subs) - £33, 𝗣𝗠, Kabaddi B (Mens 7 + 2 Subs) - £33, 𝗣𝗠</t>
  </si>
  <si>
    <t>varun6223@gmail.com</t>
  </si>
  <si>
    <t>schandarana01@gmail.com</t>
  </si>
  <si>
    <t>+44 7977 336531</t>
  </si>
  <si>
    <t>Abhimanyu Tyagi</t>
  </si>
  <si>
    <t>Football Rep</t>
  </si>
  <si>
    <t>Southampton</t>
  </si>
  <si>
    <t>Football A (Mens 5 + 3 subs) - £33, 𝗣𝗠</t>
  </si>
  <si>
    <t>at16g24&amp;soton.ac.uk</t>
  </si>
  <si>
    <t>079572965;2</t>
  </si>
  <si>
    <t>07421520335</t>
  </si>
  <si>
    <t>No</t>
  </si>
  <si>
    <t>Shiv Patel</t>
  </si>
  <si>
    <t xml:space="preserve">Football sports coordinator </t>
  </si>
  <si>
    <t>Sp1824@ic.ac.uk</t>
  </si>
  <si>
    <t>07421727340</t>
  </si>
  <si>
    <t>‪07446108841‬</t>
  </si>
  <si>
    <t>Name</t>
  </si>
  <si>
    <t>Role</t>
  </si>
  <si>
    <t>Zone</t>
  </si>
  <si>
    <t>Chapter</t>
  </si>
  <si>
    <t>Teams</t>
  </si>
  <si>
    <t>1st POC - Email</t>
  </si>
  <si>
    <t>1st POC - Phone Number</t>
  </si>
  <si>
    <t>2nd POC - Email</t>
  </si>
  <si>
    <t>2nd POC - Phone Number</t>
  </si>
  <si>
    <t>Info/Queries</t>
  </si>
  <si>
    <t>Excited? 🎉</t>
  </si>
  <si>
    <t>Confirmed?</t>
  </si>
  <si>
    <t>Total</t>
  </si>
  <si>
    <t>Payment Link Sent?</t>
  </si>
  <si>
    <t>Paid?</t>
  </si>
  <si>
    <t>Finance Team Key:</t>
  </si>
  <si>
    <t>Invoice Sent</t>
  </si>
  <si>
    <t>Invoice Paid</t>
  </si>
  <si>
    <t>Confirmed teams</t>
  </si>
  <si>
    <t>Waiting list (in order of priority)</t>
  </si>
  <si>
    <t>£33</t>
  </si>
  <si>
    <t>£18</t>
  </si>
  <si>
    <t>Kho Kho</t>
  </si>
  <si>
    <t>Badminton</t>
  </si>
  <si>
    <t>Football</t>
  </si>
  <si>
    <t>Netball</t>
  </si>
  <si>
    <t>Kabaddi (men's)</t>
  </si>
  <si>
    <t>womens?</t>
  </si>
  <si>
    <t>Cardiff A</t>
  </si>
  <si>
    <t xml:space="preserve">Cardiff </t>
  </si>
  <si>
    <t>QMUL B</t>
  </si>
  <si>
    <t>LSE B</t>
  </si>
  <si>
    <t>Imperial B</t>
  </si>
  <si>
    <t>Bristol A</t>
  </si>
  <si>
    <t>LSE A</t>
  </si>
  <si>
    <t>KCL A</t>
  </si>
  <si>
    <t>Brunel/Royal Holloway</t>
  </si>
  <si>
    <t>Imperial A</t>
  </si>
  <si>
    <t xml:space="preserve">UCL </t>
  </si>
  <si>
    <t>Brunel A</t>
  </si>
  <si>
    <t>Bristol B</t>
  </si>
  <si>
    <t xml:space="preserve">Bath </t>
  </si>
  <si>
    <t>Cardiff B</t>
  </si>
  <si>
    <t>Brunel B</t>
  </si>
  <si>
    <t>Total confirmed:</t>
  </si>
  <si>
    <t>Max capacity:</t>
  </si>
  <si>
    <t>note: Brunel and royal holloway submited netball on both their forms but they are a joint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</si>
</sst>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h&quot;:&quot;mm&quot; &quot;am/pm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sz val="16.0"/>
      <color rgb="FFFFFFFF"/>
      <name val="Calibri"/>
    </font>
    <font/>
    <font>
      <color rgb="FFFF0000"/>
      <name val="Arial"/>
    </font>
    <font>
      <b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000000"/>
        <bgColor rgb="FF000000"/>
      </patternFill>
    </fill>
  </fills>
  <borders count="9">
    <border/>
    <border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2" fontId="2" numFmtId="165" xfId="0" applyAlignment="1" applyFill="1" applyFont="1" applyNumberForma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0" fillId="6" fontId="2" numFmtId="0" xfId="0" applyAlignment="1" applyFill="1" applyFont="1">
      <alignment horizontal="center" readingOrder="0" shrinkToFit="0" vertical="center" wrapText="1"/>
    </xf>
    <xf borderId="1" fillId="6" fontId="2" numFmtId="0" xfId="0" applyAlignment="1" applyBorder="1" applyFont="1">
      <alignment horizontal="center" readingOrder="0" shrinkToFit="0" vertical="center" wrapText="1"/>
    </xf>
    <xf borderId="0" fillId="5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7" fontId="3" numFmtId="0" xfId="0" applyAlignment="1" applyFill="1" applyFont="1">
      <alignment readingOrder="0" vertical="bottom"/>
    </xf>
    <xf borderId="0" fillId="8" fontId="3" numFmtId="0" xfId="0" applyAlignment="1" applyFill="1" applyFont="1">
      <alignment readingOrder="0" vertical="bottom"/>
    </xf>
    <xf borderId="2" fillId="9" fontId="4" numFmtId="0" xfId="0" applyAlignment="1" applyBorder="1" applyFill="1" applyFont="1">
      <alignment horizontal="center" shrinkToFit="0" vertical="bottom" wrapText="1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9" fontId="4" numFmtId="0" xfId="0" applyAlignment="1" applyBorder="1" applyFont="1">
      <alignment horizontal="center" readingOrder="0" shrinkToFit="0" vertical="bottom" wrapText="1"/>
    </xf>
    <xf borderId="8" fillId="9" fontId="4" numFmtId="0" xfId="0" applyAlignment="1" applyBorder="1" applyFont="1">
      <alignment horizontal="center" shrinkToFit="0" vertical="bottom" wrapText="1"/>
    </xf>
    <xf borderId="8" fillId="0" fontId="2" numFmtId="0" xfId="0" applyAlignment="1" applyBorder="1" applyFont="1">
      <alignment horizontal="center" vertical="bottom"/>
    </xf>
    <xf borderId="8" fillId="7" fontId="3" numFmtId="0" xfId="0" applyAlignment="1" applyBorder="1" applyFont="1">
      <alignment vertical="bottom"/>
    </xf>
    <xf borderId="8" fillId="10" fontId="3" numFmtId="0" xfId="0" applyAlignment="1" applyBorder="1" applyFill="1" applyFont="1">
      <alignment vertical="bottom"/>
    </xf>
    <xf borderId="8" fillId="5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readingOrder="0" vertical="bottom"/>
    </xf>
    <xf borderId="8" fillId="10" fontId="3" numFmtId="0" xfId="0" applyAlignment="1" applyBorder="1" applyFont="1">
      <alignment readingOrder="0" vertical="bottom"/>
    </xf>
    <xf borderId="8" fillId="7" fontId="3" numFmtId="0" xfId="0" applyAlignment="1" applyBorder="1" applyFont="1">
      <alignment readingOrder="0" vertical="bottom"/>
    </xf>
    <xf borderId="8" fillId="11" fontId="3" numFmtId="0" xfId="0" applyAlignment="1" applyBorder="1" applyFill="1" applyFont="1">
      <alignment vertical="bottom"/>
    </xf>
    <xf borderId="8" fillId="10" fontId="6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M19" displayName="Form_Responses" name="Form_Responses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8.63"/>
    <col customWidth="1" min="4" max="4" width="22.63"/>
    <col customWidth="1" min="5" max="6" width="24.5"/>
    <col customWidth="1" min="7" max="7" width="37.63"/>
    <col customWidth="1" min="8" max="8" width="31.0"/>
    <col customWidth="1" min="9" max="9" width="31.25"/>
    <col customWidth="1" min="10" max="10" width="33.25"/>
    <col customWidth="1" min="11" max="11" width="33.5"/>
    <col customWidth="1" min="12" max="12" width="31.25"/>
    <col customWidth="1" min="13" max="19" width="18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3">
        <v>45955.52234943287</v>
      </c>
      <c r="B2" s="4" t="s">
        <v>12</v>
      </c>
      <c r="C2" s="4" t="s">
        <v>13</v>
      </c>
      <c r="D2" s="4" t="s">
        <v>14</v>
      </c>
      <c r="E2" s="5"/>
      <c r="F2" s="4" t="s">
        <v>15</v>
      </c>
      <c r="G2" s="4" t="s">
        <v>16</v>
      </c>
      <c r="H2" s="4" t="s">
        <v>17</v>
      </c>
      <c r="I2" s="6" t="s">
        <v>18</v>
      </c>
      <c r="J2" s="4" t="s">
        <v>19</v>
      </c>
      <c r="K2" s="4" t="s">
        <v>20</v>
      </c>
      <c r="L2" s="5"/>
      <c r="M2" s="4" t="s">
        <v>21</v>
      </c>
    </row>
    <row r="3">
      <c r="A3" s="7">
        <v>45955.522501597225</v>
      </c>
      <c r="B3" s="8" t="s">
        <v>22</v>
      </c>
      <c r="C3" s="8" t="s">
        <v>23</v>
      </c>
      <c r="D3" s="8" t="s">
        <v>14</v>
      </c>
      <c r="F3" s="8" t="s">
        <v>24</v>
      </c>
      <c r="G3" s="8" t="s">
        <v>25</v>
      </c>
      <c r="H3" s="8" t="s">
        <v>26</v>
      </c>
      <c r="I3" s="9" t="s">
        <v>27</v>
      </c>
      <c r="J3" s="8" t="s">
        <v>28</v>
      </c>
      <c r="K3" s="8" t="s">
        <v>29</v>
      </c>
      <c r="M3" s="8" t="s">
        <v>21</v>
      </c>
    </row>
    <row r="4">
      <c r="A4" s="7">
        <v>45955.5382215625</v>
      </c>
      <c r="B4" s="8" t="s">
        <v>30</v>
      </c>
      <c r="C4" s="8" t="s">
        <v>31</v>
      </c>
      <c r="D4" s="8" t="s">
        <v>32</v>
      </c>
      <c r="E4" s="8" t="s">
        <v>33</v>
      </c>
      <c r="G4" s="8" t="s">
        <v>34</v>
      </c>
      <c r="H4" s="8" t="s">
        <v>35</v>
      </c>
      <c r="I4" s="9" t="s">
        <v>36</v>
      </c>
      <c r="J4" s="8" t="s">
        <v>37</v>
      </c>
      <c r="K4" s="8" t="s">
        <v>38</v>
      </c>
      <c r="M4" s="8" t="s">
        <v>21</v>
      </c>
    </row>
    <row r="5">
      <c r="A5" s="7">
        <v>45960.45364881944</v>
      </c>
      <c r="B5" s="8" t="s">
        <v>39</v>
      </c>
      <c r="C5" s="8" t="s">
        <v>13</v>
      </c>
      <c r="D5" s="8" t="s">
        <v>32</v>
      </c>
      <c r="E5" s="8" t="s">
        <v>40</v>
      </c>
      <c r="G5" s="8" t="s">
        <v>41</v>
      </c>
      <c r="H5" s="8" t="s">
        <v>42</v>
      </c>
      <c r="I5" s="8" t="s">
        <v>43</v>
      </c>
      <c r="J5" s="8" t="s">
        <v>44</v>
      </c>
      <c r="K5" s="9" t="s">
        <v>45</v>
      </c>
      <c r="M5" s="8" t="s">
        <v>21</v>
      </c>
    </row>
    <row r="6">
      <c r="A6" s="7">
        <v>45960.53917074074</v>
      </c>
      <c r="B6" s="8" t="s">
        <v>46</v>
      </c>
      <c r="C6" s="8" t="s">
        <v>47</v>
      </c>
      <c r="D6" s="8" t="s">
        <v>32</v>
      </c>
      <c r="E6" s="8" t="s">
        <v>48</v>
      </c>
      <c r="G6" s="8" t="s">
        <v>49</v>
      </c>
      <c r="H6" s="8" t="s">
        <v>50</v>
      </c>
      <c r="I6" s="9" t="s">
        <v>51</v>
      </c>
      <c r="J6" s="8" t="s">
        <v>52</v>
      </c>
      <c r="K6" s="9" t="s">
        <v>53</v>
      </c>
      <c r="M6" s="8" t="s">
        <v>21</v>
      </c>
    </row>
    <row r="7">
      <c r="A7" s="7">
        <v>45960.54407988426</v>
      </c>
      <c r="B7" s="8" t="s">
        <v>54</v>
      </c>
      <c r="C7" s="8" t="s">
        <v>55</v>
      </c>
      <c r="D7" s="8" t="s">
        <v>32</v>
      </c>
      <c r="E7" s="8" t="s">
        <v>56</v>
      </c>
      <c r="G7" s="8" t="s">
        <v>57</v>
      </c>
      <c r="H7" s="8" t="s">
        <v>58</v>
      </c>
      <c r="I7" s="9" t="s">
        <v>59</v>
      </c>
      <c r="J7" s="8" t="s">
        <v>58</v>
      </c>
      <c r="K7" s="9" t="s">
        <v>59</v>
      </c>
      <c r="M7" s="8" t="s">
        <v>21</v>
      </c>
    </row>
    <row r="8">
      <c r="A8" s="7">
        <v>45961.57995310186</v>
      </c>
      <c r="B8" s="8" t="s">
        <v>60</v>
      </c>
      <c r="C8" s="8" t="s">
        <v>61</v>
      </c>
      <c r="D8" s="8" t="s">
        <v>32</v>
      </c>
      <c r="E8" s="8" t="s">
        <v>62</v>
      </c>
      <c r="G8" s="8" t="s">
        <v>63</v>
      </c>
      <c r="H8" s="8" t="s">
        <v>64</v>
      </c>
      <c r="I8" s="9" t="s">
        <v>65</v>
      </c>
      <c r="J8" s="8" t="s">
        <v>66</v>
      </c>
      <c r="K8" s="8" t="s">
        <v>67</v>
      </c>
      <c r="M8" s="8" t="s">
        <v>68</v>
      </c>
    </row>
    <row r="9">
      <c r="A9" s="7">
        <v>45962.60846008101</v>
      </c>
      <c r="B9" s="8" t="s">
        <v>69</v>
      </c>
      <c r="C9" s="8" t="s">
        <v>13</v>
      </c>
      <c r="D9" s="8" t="s">
        <v>14</v>
      </c>
      <c r="F9" s="8" t="s">
        <v>70</v>
      </c>
      <c r="G9" s="8" t="s">
        <v>71</v>
      </c>
      <c r="H9" s="8" t="s">
        <v>72</v>
      </c>
      <c r="I9" s="9" t="s">
        <v>73</v>
      </c>
      <c r="J9" s="8" t="s">
        <v>74</v>
      </c>
      <c r="K9" s="8" t="s">
        <v>75</v>
      </c>
      <c r="M9" s="8" t="s">
        <v>21</v>
      </c>
    </row>
    <row r="10">
      <c r="A10" s="7">
        <v>45962.69343559028</v>
      </c>
      <c r="B10" s="8" t="s">
        <v>76</v>
      </c>
      <c r="C10" s="8" t="s">
        <v>77</v>
      </c>
      <c r="D10" s="8" t="s">
        <v>32</v>
      </c>
      <c r="E10" s="8" t="s">
        <v>78</v>
      </c>
      <c r="G10" s="8" t="s">
        <v>79</v>
      </c>
      <c r="H10" s="8" t="s">
        <v>80</v>
      </c>
      <c r="I10" s="9" t="s">
        <v>81</v>
      </c>
      <c r="J10" s="8" t="s">
        <v>82</v>
      </c>
      <c r="K10" s="8" t="s">
        <v>83</v>
      </c>
      <c r="M10" s="8" t="s">
        <v>68</v>
      </c>
    </row>
    <row r="11">
      <c r="A11" s="7">
        <v>45962.70907512731</v>
      </c>
      <c r="B11" s="8" t="s">
        <v>84</v>
      </c>
      <c r="C11" s="8" t="s">
        <v>13</v>
      </c>
      <c r="D11" s="8" t="s">
        <v>14</v>
      </c>
      <c r="F11" s="8" t="s">
        <v>85</v>
      </c>
      <c r="G11" s="8" t="s">
        <v>86</v>
      </c>
      <c r="H11" s="8" t="s">
        <v>87</v>
      </c>
      <c r="I11" s="9" t="s">
        <v>88</v>
      </c>
      <c r="J11" s="8" t="s">
        <v>89</v>
      </c>
      <c r="K11" s="9" t="s">
        <v>90</v>
      </c>
      <c r="L11" s="8" t="s">
        <v>91</v>
      </c>
      <c r="M11" s="8" t="s">
        <v>21</v>
      </c>
    </row>
    <row r="12">
      <c r="A12" s="7">
        <v>45962.731583252316</v>
      </c>
      <c r="B12" s="8" t="s">
        <v>92</v>
      </c>
      <c r="C12" s="8" t="s">
        <v>13</v>
      </c>
      <c r="D12" s="8" t="s">
        <v>32</v>
      </c>
      <c r="E12" s="8" t="s">
        <v>93</v>
      </c>
      <c r="G12" s="8" t="s">
        <v>49</v>
      </c>
      <c r="H12" s="8" t="s">
        <v>94</v>
      </c>
      <c r="I12" s="8">
        <v>7.401982997E9</v>
      </c>
      <c r="J12" s="8" t="s">
        <v>95</v>
      </c>
      <c r="K12" s="8">
        <v>7.519606481E9</v>
      </c>
      <c r="M12" s="8" t="s">
        <v>21</v>
      </c>
    </row>
    <row r="13">
      <c r="A13" s="7">
        <v>45962.94356775463</v>
      </c>
      <c r="B13" s="8" t="s">
        <v>96</v>
      </c>
      <c r="C13" s="8" t="s">
        <v>13</v>
      </c>
      <c r="D13" s="8" t="s">
        <v>32</v>
      </c>
      <c r="E13" s="8" t="s">
        <v>97</v>
      </c>
      <c r="G13" s="8" t="s">
        <v>98</v>
      </c>
      <c r="H13" s="8" t="s">
        <v>99</v>
      </c>
      <c r="I13" s="9" t="s">
        <v>100</v>
      </c>
      <c r="J13" s="8" t="s">
        <v>101</v>
      </c>
      <c r="K13" s="8" t="s">
        <v>102</v>
      </c>
      <c r="M13" s="8" t="s">
        <v>21</v>
      </c>
    </row>
    <row r="14">
      <c r="A14" s="7">
        <v>45962.94795553241</v>
      </c>
      <c r="B14" s="8" t="s">
        <v>54</v>
      </c>
      <c r="C14" s="8" t="s">
        <v>55</v>
      </c>
      <c r="D14" s="8" t="s">
        <v>32</v>
      </c>
      <c r="E14" s="8" t="s">
        <v>56</v>
      </c>
      <c r="G14" s="8" t="s">
        <v>103</v>
      </c>
      <c r="H14" s="8" t="s">
        <v>58</v>
      </c>
      <c r="I14" s="9" t="s">
        <v>59</v>
      </c>
      <c r="J14" s="8" t="s">
        <v>58</v>
      </c>
      <c r="K14" s="8">
        <v>7.305265464E9</v>
      </c>
      <c r="M14" s="8" t="s">
        <v>21</v>
      </c>
    </row>
    <row r="15">
      <c r="A15" s="7">
        <v>45962.96428994213</v>
      </c>
      <c r="B15" s="8" t="s">
        <v>104</v>
      </c>
      <c r="C15" s="8" t="s">
        <v>61</v>
      </c>
      <c r="D15" s="8" t="s">
        <v>32</v>
      </c>
      <c r="E15" s="8" t="s">
        <v>62</v>
      </c>
      <c r="G15" s="8" t="s">
        <v>105</v>
      </c>
      <c r="H15" s="8" t="s">
        <v>64</v>
      </c>
      <c r="I15" s="9" t="s">
        <v>65</v>
      </c>
      <c r="J15" s="8" t="s">
        <v>66</v>
      </c>
      <c r="K15" s="8" t="s">
        <v>67</v>
      </c>
      <c r="M15" s="8" t="s">
        <v>68</v>
      </c>
    </row>
    <row r="16">
      <c r="A16" s="7">
        <v>45962.98798174769</v>
      </c>
      <c r="B16" s="8" t="s">
        <v>106</v>
      </c>
      <c r="C16" s="8" t="s">
        <v>107</v>
      </c>
      <c r="D16" s="8" t="s">
        <v>14</v>
      </c>
      <c r="F16" s="8" t="s">
        <v>108</v>
      </c>
      <c r="G16" s="8" t="s">
        <v>71</v>
      </c>
      <c r="H16" s="8" t="s">
        <v>109</v>
      </c>
      <c r="I16" s="9" t="s">
        <v>110</v>
      </c>
      <c r="J16" s="8" t="s">
        <v>111</v>
      </c>
      <c r="K16" s="9" t="s">
        <v>112</v>
      </c>
      <c r="M16" s="8" t="s">
        <v>68</v>
      </c>
    </row>
    <row r="17">
      <c r="A17" s="7">
        <v>45962.994435914356</v>
      </c>
      <c r="B17" s="8" t="s">
        <v>113</v>
      </c>
      <c r="C17" s="8" t="s">
        <v>114</v>
      </c>
      <c r="D17" s="8" t="s">
        <v>32</v>
      </c>
      <c r="E17" s="8" t="s">
        <v>115</v>
      </c>
      <c r="G17" s="8" t="s">
        <v>116</v>
      </c>
      <c r="H17" s="8" t="s">
        <v>117</v>
      </c>
      <c r="I17" s="8">
        <v>7.769413128E9</v>
      </c>
      <c r="J17" s="8" t="s">
        <v>118</v>
      </c>
      <c r="K17" s="8" t="s">
        <v>119</v>
      </c>
      <c r="M17" s="8" t="s">
        <v>68</v>
      </c>
    </row>
    <row r="18">
      <c r="A18" s="7">
        <v>45963.14898618056</v>
      </c>
      <c r="B18" s="8" t="s">
        <v>120</v>
      </c>
      <c r="C18" s="8" t="s">
        <v>121</v>
      </c>
      <c r="D18" s="8" t="s">
        <v>14</v>
      </c>
      <c r="F18" s="8" t="s">
        <v>122</v>
      </c>
      <c r="G18" s="8" t="s">
        <v>123</v>
      </c>
      <c r="H18" s="8" t="s">
        <v>124</v>
      </c>
      <c r="I18" s="8" t="s">
        <v>125</v>
      </c>
      <c r="J18" s="9" t="s">
        <v>126</v>
      </c>
      <c r="K18" s="8">
        <v>7.411520335E9</v>
      </c>
      <c r="L18" s="8" t="s">
        <v>127</v>
      </c>
      <c r="M18" s="8" t="s">
        <v>21</v>
      </c>
    </row>
    <row r="19">
      <c r="A19" s="7">
        <v>45964.57937820602</v>
      </c>
      <c r="B19" s="8" t="s">
        <v>128</v>
      </c>
      <c r="C19" s="8" t="s">
        <v>129</v>
      </c>
      <c r="D19" s="8" t="s">
        <v>32</v>
      </c>
      <c r="E19" s="8" t="s">
        <v>97</v>
      </c>
      <c r="G19" s="8" t="s">
        <v>123</v>
      </c>
      <c r="H19" s="8" t="s">
        <v>130</v>
      </c>
      <c r="I19" s="9" t="s">
        <v>131</v>
      </c>
      <c r="J19" s="8" t="s">
        <v>99</v>
      </c>
      <c r="K19" s="8" t="s">
        <v>132</v>
      </c>
      <c r="L19" s="8" t="s">
        <v>127</v>
      </c>
      <c r="M19" s="8" t="s">
        <v>21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6" max="6" width="40.5"/>
    <col customWidth="1" min="7" max="7" width="23.75"/>
    <col customWidth="1" min="8" max="8" width="14.13"/>
    <col customWidth="1" min="9" max="9" width="26.63"/>
    <col customWidth="1" min="10" max="11" width="14.88"/>
    <col customWidth="1" min="12" max="12" width="14.38"/>
    <col customWidth="1" min="13" max="13" width="13.88"/>
    <col customWidth="1" min="15" max="15" width="16.63"/>
  </cols>
  <sheetData>
    <row r="1" ht="41.25" customHeight="1">
      <c r="A1" s="10" t="s">
        <v>0</v>
      </c>
      <c r="B1" s="11" t="s">
        <v>133</v>
      </c>
      <c r="C1" s="11" t="s">
        <v>134</v>
      </c>
      <c r="D1" s="11" t="s">
        <v>135</v>
      </c>
      <c r="E1" s="11" t="s">
        <v>136</v>
      </c>
      <c r="F1" s="12" t="s">
        <v>137</v>
      </c>
      <c r="G1" s="13" t="s">
        <v>138</v>
      </c>
      <c r="H1" s="13" t="s">
        <v>139</v>
      </c>
      <c r="I1" s="14" t="s">
        <v>140</v>
      </c>
      <c r="J1" s="14" t="s">
        <v>141</v>
      </c>
      <c r="K1" s="15" t="s">
        <v>142</v>
      </c>
      <c r="L1" s="16" t="s">
        <v>143</v>
      </c>
      <c r="M1" s="17" t="s">
        <v>144</v>
      </c>
      <c r="N1" s="17" t="s">
        <v>145</v>
      </c>
      <c r="O1" s="17" t="s">
        <v>146</v>
      </c>
      <c r="P1" s="18" t="s">
        <v>147</v>
      </c>
      <c r="Q1" s="19"/>
    </row>
    <row r="2" hidden="1">
      <c r="A2" s="20" t="str">
        <f>IFERROR(__xludf.DUMMYFUNCTION("QUERY(
  'Form Responses 1'!A1:XX1000,
  ""select A, B, C, D, E, G, H, I, J, K, L, M where A is not null"",
  1
)
"),"Timestamp")</f>
        <v>Timestamp</v>
      </c>
      <c r="B2" s="20" t="str">
        <f>IFERROR(__xludf.DUMMYFUNCTION("""COMPUTED_VALUE"""),"Full Name")</f>
        <v>Full Name</v>
      </c>
      <c r="C2" s="20" t="str">
        <f>IFERROR(__xludf.DUMMYFUNCTION("""COMPUTED_VALUE"""),"What is your role on committee?")</f>
        <v>What is your role on committee?</v>
      </c>
      <c r="D2" s="20" t="str">
        <f>IFERROR(__xludf.DUMMYFUNCTION("""COMPUTED_VALUE"""),"Please select your Zone")</f>
        <v>Please select your Zone</v>
      </c>
      <c r="E2" s="20" t="str">
        <f>IFERROR(__xludf.DUMMYFUNCTION("""COMPUTED_VALUE"""),"Please select your chapter")</f>
        <v>Please select your chapter</v>
      </c>
      <c r="F2" s="20" t="str">
        <f>IFERROR(__xludf.DUMMYFUNCTION("""COMPUTED_VALUE"""),"Please select the sport for which you would like to submit a team list")</f>
        <v>Please select the sport for which you would like to submit a team list</v>
      </c>
      <c r="G2" s="20" t="str">
        <f>IFERROR(__xludf.DUMMYFUNCTION("""COMPUTED_VALUE"""),"First point of contact email address")</f>
        <v>First point of contact email address</v>
      </c>
      <c r="H2" s="20" t="str">
        <f>IFERROR(__xludf.DUMMYFUNCTION("""COMPUTED_VALUE"""),"First point of contact phone number")</f>
        <v>First point of contact phone number</v>
      </c>
      <c r="I2" s="20" t="str">
        <f>IFERROR(__xludf.DUMMYFUNCTION("""COMPUTED_VALUE"""),"Second point of contact email address")</f>
        <v>Second point of contact email address</v>
      </c>
      <c r="J2" s="20" t="str">
        <f>IFERROR(__xludf.DUMMYFUNCTION("""COMPUTED_VALUE"""),"Second point of contact phone number")</f>
        <v>Second point of contact phone number</v>
      </c>
      <c r="K2" s="20" t="str">
        <f>IFERROR(__xludf.DUMMYFUNCTION("""COMPUTED_VALUE"""),"Any additional information/queries?")</f>
        <v>Any additional information/queries?</v>
      </c>
      <c r="L2" s="21" t="str">
        <f>IFERROR(__xludf.DUMMYFUNCTION("""COMPUTED_VALUE"""),"Are you excited?")</f>
        <v>Are you excited?</v>
      </c>
      <c r="M2" s="22" t="b">
        <v>0</v>
      </c>
      <c r="O2" s="22" t="b">
        <v>0</v>
      </c>
      <c r="P2" s="23" t="b">
        <v>0</v>
      </c>
    </row>
    <row r="3" hidden="1">
      <c r="A3" s="24">
        <f>IFERROR(__xludf.DUMMYFUNCTION("""COMPUTED_VALUE"""),45955.52234943287)</f>
        <v>45955.52235</v>
      </c>
      <c r="B3" s="20" t="str">
        <f>IFERROR(__xludf.DUMMYFUNCTION("""COMPUTED_VALUE"""),"Aryan Jain")</f>
        <v>Aryan Jain</v>
      </c>
      <c r="C3" s="20" t="str">
        <f>IFERROR(__xludf.DUMMYFUNCTION("""COMPUTED_VALUE"""),"President ")</f>
        <v>President </v>
      </c>
      <c r="D3" s="20" t="str">
        <f>IFERROR(__xludf.DUMMYFUNCTION("""COMPUTED_VALUE"""),"South")</f>
        <v>South</v>
      </c>
      <c r="E3" s="20"/>
      <c r="F3" s="20" t="str">
        <f>IFERROR(__xludf.DUMMYFUNCTION("""COMPUTED_VALUE"""),"Badminton A (Mixed Doubles - no subs) - £18, 𝗔𝗠, Badminton B (Mixed Doubles - no subs) - £18, 𝗔𝗠, Kho Kho A (Mixed 9 + 2 subs - min 2 of each gender) - £33, 𝗔𝗠, Netball A (Womens 7 + 3 subs) - £33, 𝗣𝗠, Football A (Mens 5 + 3 subs) - £33, 𝗣𝗠")</f>
        <v>Badminton A (Mixed Doubles - no subs) - £18, 𝗔𝗠, Badminton B (Mixed Doubles - no subs) - £18, 𝗔𝗠, Kho Kho A (Mixed 9 + 2 subs - min 2 of each gender) - £33, 𝗔𝗠, Netball A (Womens 7 + 3 subs) - £33, 𝗣𝗠, Football A (Mens 5 + 3 subs) - £33, 𝗣𝗠</v>
      </c>
      <c r="G3" s="20" t="str">
        <f>IFERROR(__xludf.DUMMYFUNCTION("""COMPUTED_VALUE"""),"Nhsfcardiff@gmail.com")</f>
        <v>Nhsfcardiff@gmail.com</v>
      </c>
      <c r="H3" s="20" t="str">
        <f>IFERROR(__xludf.DUMMYFUNCTION("""COMPUTED_VALUE"""),"07419741154")</f>
        <v>07419741154</v>
      </c>
      <c r="I3" s="20" t="str">
        <f>IFERROR(__xludf.DUMMYFUNCTION("""COMPUTED_VALUE"""),"Aryanjainuk@gmail.com")</f>
        <v>Aryanjainuk@gmail.com</v>
      </c>
      <c r="J3" s="20" t="str">
        <f>IFERROR(__xludf.DUMMYFUNCTION("""COMPUTED_VALUE"""),"+44 7488 320075")</f>
        <v>+44 7488 320075</v>
      </c>
      <c r="K3" s="20"/>
      <c r="L3" s="21" t="str">
        <f>IFERROR(__xludf.DUMMYFUNCTION("""COMPUTED_VALUE"""),"Yes 🔥")</f>
        <v>Yes 🔥</v>
      </c>
      <c r="M3" s="22" t="b">
        <v>0</v>
      </c>
      <c r="O3" s="22" t="b">
        <v>0</v>
      </c>
      <c r="P3" s="23" t="b">
        <v>0</v>
      </c>
    </row>
    <row r="4" hidden="1">
      <c r="A4" s="24">
        <f>IFERROR(__xludf.DUMMYFUNCTION("""COMPUTED_VALUE"""),45955.522501597225)</f>
        <v>45955.5225</v>
      </c>
      <c r="B4" s="20" t="str">
        <f>IFERROR(__xludf.DUMMYFUNCTION("""COMPUTED_VALUE"""),"Rishi Amin")</f>
        <v>Rishi Amin</v>
      </c>
      <c r="C4" s="20" t="str">
        <f>IFERROR(__xludf.DUMMYFUNCTION("""COMPUTED_VALUE"""),"Co-President ")</f>
        <v>Co-President </v>
      </c>
      <c r="D4" s="20" t="str">
        <f>IFERROR(__xludf.DUMMYFUNCTION("""COMPUTED_VALUE"""),"South")</f>
        <v>South</v>
      </c>
      <c r="E4" s="20"/>
      <c r="F4" s="20" t="str">
        <f>IFERROR(__xludf.DUMMYFUNCTION("""COMPUTED_VALUE"""),"Badminton A (Mixed Doubles - no subs) - £18, 𝗔𝗠, Badminton B (Mixed Doubles - no subs) - £18, 𝗔𝗠, Kho Kho A (Mixed 9 + 2 subs - min 2 of each gender) - £33, 𝗔𝗠, Kho Kho B (Mixed 9 + 2 subs - min 2 of each gender) - £33, 𝗔𝗠, Football A (Mens 5 + 3 "&amp;"subs) - £33, 𝗣𝗠")</f>
        <v>Badminton A (Mixed Doubles - no subs) - £18, 𝗔𝗠, Badminton B (Mixed Doubles - no subs) - £18, 𝗔𝗠, Kho Kho A (Mixed 9 + 2 subs - min 2 of each gender) - £33, 𝗔𝗠, Kho Kho B (Mixed 9 + 2 subs - min 2 of each gender) - £33, 𝗔𝗠, Football A (Mens 5 + 3 subs) - £33, 𝗣𝗠</v>
      </c>
      <c r="G4" s="20" t="str">
        <f>IFERROR(__xludf.DUMMYFUNCTION("""COMPUTED_VALUE"""),"Nhsfbristol@gmail.com")</f>
        <v>Nhsfbristol@gmail.com</v>
      </c>
      <c r="H4" s="20" t="str">
        <f>IFERROR(__xludf.DUMMYFUNCTION("""COMPUTED_VALUE"""),"07435665560")</f>
        <v>07435665560</v>
      </c>
      <c r="I4" s="20" t="str">
        <f>IFERROR(__xludf.DUMMYFUNCTION("""COMPUTED_VALUE"""),"qs22114@bristol.ac.uk")</f>
        <v>qs22114@bristol.ac.uk</v>
      </c>
      <c r="J4" s="20" t="str">
        <f>IFERROR(__xludf.DUMMYFUNCTION("""COMPUTED_VALUE"""),"+44 7510 329586")</f>
        <v>+44 7510 329586</v>
      </c>
      <c r="K4" s="20"/>
      <c r="L4" s="21" t="str">
        <f>IFERROR(__xludf.DUMMYFUNCTION("""COMPUTED_VALUE"""),"Yes 🔥")</f>
        <v>Yes 🔥</v>
      </c>
      <c r="M4" s="22" t="b">
        <v>0</v>
      </c>
      <c r="O4" s="22" t="b">
        <v>0</v>
      </c>
      <c r="P4" s="23" t="b">
        <v>0</v>
      </c>
    </row>
    <row r="5">
      <c r="A5" s="24">
        <f>IFERROR(__xludf.DUMMYFUNCTION("""COMPUTED_VALUE"""),45955.5382215625)</f>
        <v>45955.53822</v>
      </c>
      <c r="B5" s="20" t="str">
        <f>IFERROR(__xludf.DUMMYFUNCTION("""COMPUTED_VALUE"""),"Riya Sareen")</f>
        <v>Riya Sareen</v>
      </c>
      <c r="C5" s="20" t="str">
        <f>IFERROR(__xludf.DUMMYFUNCTION("""COMPUTED_VALUE"""),"Head of Sports")</f>
        <v>Head of Sports</v>
      </c>
      <c r="D5" s="20" t="str">
        <f>IFERROR(__xludf.DUMMYFUNCTION("""COMPUTED_VALUE"""),"London")</f>
        <v>London</v>
      </c>
      <c r="E5" s="20" t="str">
        <f>IFERROR(__xludf.DUMMYFUNCTION("""COMPUTED_VALUE"""),"KCL")</f>
        <v>KCL</v>
      </c>
      <c r="F5" s="20" t="str">
        <f>IFERROR(__xludf.DUMMYFUNCTION("""COMPUTED_VALUE"""),"Badminton A (Mixed Doubles - no subs) - £18, 𝗔𝗠, Football A (Mens 5 + 3 subs) - £33, 𝗣𝗠, Kabaddi A (Mens 7 + 2 Subs) - £33, 𝗣𝗠")</f>
        <v>Badminton A (Mixed Doubles - no subs) - £18, 𝗔𝗠, Football A (Mens 5 + 3 subs) - £33, 𝗣𝗠, Kabaddi A (Mens 7 + 2 Subs) - £33, 𝗣𝗠</v>
      </c>
      <c r="G5" s="20" t="str">
        <f>IFERROR(__xludf.DUMMYFUNCTION("""COMPUTED_VALUE"""),"riyasareen06@gmail.com")</f>
        <v>riyasareen06@gmail.com</v>
      </c>
      <c r="H5" s="20" t="str">
        <f>IFERROR(__xludf.DUMMYFUNCTION("""COMPUTED_VALUE"""),"07790092007")</f>
        <v>07790092007</v>
      </c>
      <c r="I5" s="20" t="str">
        <f>IFERROR(__xludf.DUMMYFUNCTION("""COMPUTED_VALUE"""),"Akshat Sharma")</f>
        <v>Akshat Sharma</v>
      </c>
      <c r="J5" s="20" t="str">
        <f>IFERROR(__xludf.DUMMYFUNCTION("""COMPUTED_VALUE"""),"+44 7847 354228")</f>
        <v>+44 7847 354228</v>
      </c>
      <c r="K5" s="20"/>
      <c r="L5" s="21" t="str">
        <f>IFERROR(__xludf.DUMMYFUNCTION("""COMPUTED_VALUE"""),"Yes 🔥")</f>
        <v>Yes 🔥</v>
      </c>
      <c r="M5" s="22" t="b">
        <v>0</v>
      </c>
      <c r="O5" s="22" t="b">
        <v>0</v>
      </c>
      <c r="P5" s="23" t="b">
        <v>0</v>
      </c>
    </row>
    <row r="6">
      <c r="A6" s="24">
        <f>IFERROR(__xludf.DUMMYFUNCTION("""COMPUTED_VALUE"""),45960.45364881944)</f>
        <v>45960.45365</v>
      </c>
      <c r="B6" s="20" t="str">
        <f>IFERROR(__xludf.DUMMYFUNCTION("""COMPUTED_VALUE"""),"Priya Patel")</f>
        <v>Priya Patel</v>
      </c>
      <c r="C6" s="20" t="str">
        <f>IFERROR(__xludf.DUMMYFUNCTION("""COMPUTED_VALUE"""),"President ")</f>
        <v>President </v>
      </c>
      <c r="D6" s="20" t="str">
        <f>IFERROR(__xludf.DUMMYFUNCTION("""COMPUTED_VALUE"""),"London")</f>
        <v>London</v>
      </c>
      <c r="E6" s="20" t="str">
        <f>IFERROR(__xludf.DUMMYFUNCTION("""COMPUTED_VALUE"""),"Essex")</f>
        <v>Essex</v>
      </c>
      <c r="F6" s="20" t="str">
        <f>IFERROR(__xludf.DUMMYFUNCTION("""COMPUTED_VALUE"""),"Badminton B (Mixed Doubles - no subs) - £18, 𝗔𝗠, Football B (Mens 5 + 3 subs) - £33, 𝗣𝗠")</f>
        <v>Badminton B (Mixed Doubles - no subs) - £18, 𝗔𝗠, Football B (Mens 5 + 3 subs) - £33, 𝗣𝗠</v>
      </c>
      <c r="G6" s="20" t="str">
        <f>IFERROR(__xludf.DUMMYFUNCTION("""COMPUTED_VALUE"""),"Aakashsainixko@gmail.com")</f>
        <v>Aakashsainixko@gmail.com</v>
      </c>
      <c r="H6" s="20" t="str">
        <f>IFERROR(__xludf.DUMMYFUNCTION("""COMPUTED_VALUE"""),"07588 150649")</f>
        <v>07588 150649</v>
      </c>
      <c r="I6" s="20" t="str">
        <f>IFERROR(__xludf.DUMMYFUNCTION("""COMPUTED_VALUE"""),"patel2004priya@gmail.com")</f>
        <v>patel2004priya@gmail.com</v>
      </c>
      <c r="J6" s="20" t="str">
        <f>IFERROR(__xludf.DUMMYFUNCTION("""COMPUTED_VALUE"""),"07466315973")</f>
        <v>07466315973</v>
      </c>
      <c r="K6" s="20"/>
      <c r="L6" s="21" t="str">
        <f>IFERROR(__xludf.DUMMYFUNCTION("""COMPUTED_VALUE"""),"Yes 🔥")</f>
        <v>Yes 🔥</v>
      </c>
      <c r="M6" s="22" t="b">
        <v>0</v>
      </c>
      <c r="O6" s="22" t="b">
        <v>0</v>
      </c>
      <c r="P6" s="23" t="b">
        <v>0</v>
      </c>
    </row>
    <row r="7">
      <c r="A7" s="24">
        <f>IFERROR(__xludf.DUMMYFUNCTION("""COMPUTED_VALUE"""),45960.53917074074)</f>
        <v>45960.53917</v>
      </c>
      <c r="B7" s="20" t="str">
        <f>IFERROR(__xludf.DUMMYFUNCTION("""COMPUTED_VALUE"""),"Hanisha Patel")</f>
        <v>Hanisha Patel</v>
      </c>
      <c r="C7" s="20" t="str">
        <f>IFERROR(__xludf.DUMMYFUNCTION("""COMPUTED_VALUE"""),"Sports Coordinator ")</f>
        <v>Sports Coordinator </v>
      </c>
      <c r="D7" s="20" t="str">
        <f>IFERROR(__xludf.DUMMYFUNCTION("""COMPUTED_VALUE"""),"London")</f>
        <v>London</v>
      </c>
      <c r="E7" s="20" t="str">
        <f>IFERROR(__xludf.DUMMYFUNCTION("""COMPUTED_VALUE"""),"UCL")</f>
        <v>UCL</v>
      </c>
      <c r="F7" s="20" t="str">
        <f>IFERROR(__xludf.DUMMYFUNCTION("""COMPUTED_VALUE"""),"Badminton A (Mixed Doubles - no subs) - £18, 𝗔𝗠, Kho Kho A (Mixed 9 + 2 subs - min 2 of each gender) - £33, 𝗔𝗠, Netball A (Womens 7 + 3 subs) - £33, 𝗣𝗠, Football A (Mens 5 + 3 subs) - £33, 𝗣𝗠")</f>
        <v>Badminton A (Mixed Doubles - no subs) - £18, 𝗔𝗠, Kho Kho A (Mixed 9 + 2 subs - min 2 of each gender) - £33, 𝗔𝗠, Netball A (Womens 7 + 3 subs) - £33, 𝗣𝗠, Football A (Mens 5 + 3 subs) - £33, 𝗣𝗠</v>
      </c>
      <c r="G7" s="20" t="str">
        <f>IFERROR(__xludf.DUMMYFUNCTION("""COMPUTED_VALUE"""),"hanishapatel12@gmail.com")</f>
        <v>hanishapatel12@gmail.com</v>
      </c>
      <c r="H7" s="20" t="str">
        <f>IFERROR(__xludf.DUMMYFUNCTION("""COMPUTED_VALUE"""),"07909369366")</f>
        <v>07909369366</v>
      </c>
      <c r="I7" s="20" t="str">
        <f>IFERROR(__xludf.DUMMYFUNCTION("""COMPUTED_VALUE"""),"suhani.bapat.24@ucl.ac.uk")</f>
        <v>suhani.bapat.24@ucl.ac.uk</v>
      </c>
      <c r="J7" s="20" t="str">
        <f>IFERROR(__xludf.DUMMYFUNCTION("""COMPUTED_VALUE"""),"07849779264")</f>
        <v>07849779264</v>
      </c>
      <c r="K7" s="20"/>
      <c r="L7" s="21" t="str">
        <f>IFERROR(__xludf.DUMMYFUNCTION("""COMPUTED_VALUE"""),"Yes 🔥")</f>
        <v>Yes 🔥</v>
      </c>
      <c r="M7" s="22" t="b">
        <v>0</v>
      </c>
      <c r="O7" s="22" t="b">
        <v>0</v>
      </c>
      <c r="P7" s="23" t="b">
        <v>0</v>
      </c>
    </row>
    <row r="8">
      <c r="A8" s="24">
        <f>IFERROR(__xludf.DUMMYFUNCTION("""COMPUTED_VALUE"""),45960.54407988426)</f>
        <v>45960.54408</v>
      </c>
      <c r="B8" s="20" t="str">
        <f>IFERROR(__xludf.DUMMYFUNCTION("""COMPUTED_VALUE"""),"Boshupriyo Bijan Mandal")</f>
        <v>Boshupriyo Bijan Mandal</v>
      </c>
      <c r="C8" s="20" t="str">
        <f>IFERROR(__xludf.DUMMYFUNCTION("""COMPUTED_VALUE"""),"Sport coordinator ")</f>
        <v>Sport coordinator </v>
      </c>
      <c r="D8" s="20" t="str">
        <f>IFERROR(__xludf.DUMMYFUNCTION("""COMPUTED_VALUE"""),"London")</f>
        <v>London</v>
      </c>
      <c r="E8" s="20" t="str">
        <f>IFERROR(__xludf.DUMMYFUNCTION("""COMPUTED_VALUE"""),"Brunel")</f>
        <v>Brunel</v>
      </c>
      <c r="F8" s="20" t="str">
        <f>IFERROR(__xludf.DUMMYFUNCTION("""COMPUTED_VALUE"""),"Badminton A (Mixed Doubles - no subs) - £18, 𝗔𝗠, Kho Kho B (Mixed 9 + 2 subs - min 2 of each gender) - £33, 𝗔𝗠, Netball A (Womens 7 + 3 subs) - £33, 𝗣𝗠, Football B (Mens 5 + 3 subs) - £33, 𝗣𝗠")</f>
        <v>Badminton A (Mixed Doubles - no subs) - £18, 𝗔𝗠, Kho Kho B (Mixed 9 + 2 subs - min 2 of each gender) - £33, 𝗔𝗠, Netball A (Womens 7 + 3 subs) - £33, 𝗣𝗠, Football B (Mens 5 + 3 subs) - £33, 𝗣𝗠</v>
      </c>
      <c r="G8" s="20" t="str">
        <f>IFERROR(__xludf.DUMMYFUNCTION("""COMPUTED_VALUE"""),"20boshu05@gmail.com")</f>
        <v>20boshu05@gmail.com</v>
      </c>
      <c r="H8" s="20" t="str">
        <f>IFERROR(__xludf.DUMMYFUNCTION("""COMPUTED_VALUE"""),"07488275942")</f>
        <v>07488275942</v>
      </c>
      <c r="I8" s="20" t="str">
        <f>IFERROR(__xludf.DUMMYFUNCTION("""COMPUTED_VALUE"""),"20boshu05@gmail.com")</f>
        <v>20boshu05@gmail.com</v>
      </c>
      <c r="J8" s="20" t="str">
        <f>IFERROR(__xludf.DUMMYFUNCTION("""COMPUTED_VALUE"""),"07488275942")</f>
        <v>07488275942</v>
      </c>
      <c r="K8" s="20"/>
      <c r="L8" s="21" t="str">
        <f>IFERROR(__xludf.DUMMYFUNCTION("""COMPUTED_VALUE"""),"Yes 🔥")</f>
        <v>Yes 🔥</v>
      </c>
      <c r="M8" s="22" t="b">
        <v>0</v>
      </c>
      <c r="O8" s="22" t="b">
        <v>0</v>
      </c>
      <c r="P8" s="23" t="b">
        <v>0</v>
      </c>
    </row>
    <row r="9">
      <c r="A9" s="24">
        <f>IFERROR(__xludf.DUMMYFUNCTION("""COMPUTED_VALUE"""),45961.57995310185)</f>
        <v>45961.57995</v>
      </c>
      <c r="B9" s="20" t="str">
        <f>IFERROR(__xludf.DUMMYFUNCTION("""COMPUTED_VALUE"""),"Nikita Biju")</f>
        <v>Nikita Biju</v>
      </c>
      <c r="C9" s="20" t="str">
        <f>IFERROR(__xludf.DUMMYFUNCTION("""COMPUTED_VALUE"""),"Sport")</f>
        <v>Sport</v>
      </c>
      <c r="D9" s="20" t="str">
        <f>IFERROR(__xludf.DUMMYFUNCTION("""COMPUTED_VALUE"""),"London")</f>
        <v>London</v>
      </c>
      <c r="E9" s="20" t="str">
        <f>IFERROR(__xludf.DUMMYFUNCTION("""COMPUTED_VALUE"""),"LSE")</f>
        <v>LSE</v>
      </c>
      <c r="F9" s="20" t="str">
        <f>IFERROR(__xludf.DUMMYFUNCTION("""COMPUTED_VALUE"""),"Badminton A (Mixed Doubles - no subs) - £18, 𝗔𝗠, Netball A (Womens 7 + 3 subs) - £33, 𝗣𝗠, Football A (Mens 5 + 3 subs) - £33, 𝗣𝗠, Kabaddi A (Mens 7 + 2 Subs) - £33, 𝗣𝗠, Kabaddi B (Mens 7 + 2 Subs) - £33, 𝗣𝗠")</f>
        <v>Badminton A (Mixed Doubles - no subs) - £18, 𝗔𝗠, Netball A (Womens 7 + 3 subs) - £33, 𝗣𝗠, Football A (Mens 5 + 3 subs) - £33, 𝗣𝗠, Kabaddi A (Mens 7 + 2 Subs) - £33, 𝗣𝗠, Kabaddi B (Mens 7 + 2 Subs) - £33, 𝗣𝗠</v>
      </c>
      <c r="G9" s="20" t="str">
        <f>IFERROR(__xludf.DUMMYFUNCTION("""COMPUTED_VALUE"""),"nikitabiju2006@gmail.com")</f>
        <v>nikitabiju2006@gmail.com</v>
      </c>
      <c r="H9" s="20" t="str">
        <f>IFERROR(__xludf.DUMMYFUNCTION("""COMPUTED_VALUE"""),"07914152044")</f>
        <v>07914152044</v>
      </c>
      <c r="I9" s="20" t="str">
        <f>IFERROR(__xludf.DUMMYFUNCTION("""COMPUTED_VALUE"""),"siya.ambekar@me.com")</f>
        <v>siya.ambekar@me.com</v>
      </c>
      <c r="J9" s="20" t="str">
        <f>IFERROR(__xludf.DUMMYFUNCTION("""COMPUTED_VALUE"""),"+44 7943 974119")</f>
        <v>+44 7943 974119</v>
      </c>
      <c r="K9" s="20"/>
      <c r="L9" s="21" t="str">
        <f>IFERROR(__xludf.DUMMYFUNCTION("""COMPUTED_VALUE"""),"Of Course 🤩")</f>
        <v>Of Course 🤩</v>
      </c>
      <c r="M9" s="22" t="b">
        <v>0</v>
      </c>
      <c r="O9" s="22" t="b">
        <v>0</v>
      </c>
      <c r="P9" s="23" t="b">
        <v>0</v>
      </c>
    </row>
    <row r="10" hidden="1">
      <c r="A10" s="24">
        <f>IFERROR(__xludf.DUMMYFUNCTION("""COMPUTED_VALUE"""),45962.60846008102)</f>
        <v>45962.60846</v>
      </c>
      <c r="B10" s="20" t="str">
        <f>IFERROR(__xludf.DUMMYFUNCTION("""COMPUTED_VALUE"""),"Mansi Shah")</f>
        <v>Mansi Shah</v>
      </c>
      <c r="C10" s="20" t="str">
        <f>IFERROR(__xludf.DUMMYFUNCTION("""COMPUTED_VALUE"""),"President ")</f>
        <v>President </v>
      </c>
      <c r="D10" s="20" t="str">
        <f>IFERROR(__xludf.DUMMYFUNCTION("""COMPUTED_VALUE"""),"South")</f>
        <v>South</v>
      </c>
      <c r="E10" s="20"/>
      <c r="F10" s="20" t="str">
        <f>IFERROR(__xludf.DUMMYFUNCTION("""COMPUTED_VALUE"""),"Badminton A (Mixed Doubles - no subs) - £18, 𝗔𝗠, Football A (Mens 5 + 3 subs) - £33, 𝗣𝗠")</f>
        <v>Badminton A (Mixed Doubles - no subs) - £18, 𝗔𝗠, Football A (Mens 5 + 3 subs) - £33, 𝗣𝗠</v>
      </c>
      <c r="G10" s="20" t="str">
        <f>IFERROR(__xludf.DUMMYFUNCTION("""COMPUTED_VALUE"""),"mansiben.shah2005@gmail.com")</f>
        <v>mansiben.shah2005@gmail.com</v>
      </c>
      <c r="H10" s="20" t="str">
        <f>IFERROR(__xludf.DUMMYFUNCTION("""COMPUTED_VALUE"""),"07488551933")</f>
        <v>07488551933</v>
      </c>
      <c r="I10" s="20" t="str">
        <f>IFERROR(__xludf.DUMMYFUNCTION("""COMPUTED_VALUE"""),"yj250@sussex.ac.uk")</f>
        <v>yj250@sussex.ac.uk</v>
      </c>
      <c r="J10" s="20" t="str">
        <f>IFERROR(__xludf.DUMMYFUNCTION("""COMPUTED_VALUE"""),"+91 99994 06000")</f>
        <v>+91 99994 06000</v>
      </c>
      <c r="K10" s="20"/>
      <c r="L10" s="21" t="str">
        <f>IFERROR(__xludf.DUMMYFUNCTION("""COMPUTED_VALUE"""),"Yes 🔥")</f>
        <v>Yes 🔥</v>
      </c>
      <c r="M10" s="22" t="b">
        <v>0</v>
      </c>
      <c r="O10" s="22" t="b">
        <v>0</v>
      </c>
      <c r="P10" s="23" t="b">
        <v>0</v>
      </c>
    </row>
    <row r="11">
      <c r="A11" s="24">
        <f>IFERROR(__xludf.DUMMYFUNCTION("""COMPUTED_VALUE"""),45962.69343559028)</f>
        <v>45962.69344</v>
      </c>
      <c r="B11" s="20" t="str">
        <f>IFERROR(__xludf.DUMMYFUNCTION("""COMPUTED_VALUE"""),"Thira Vekaria")</f>
        <v>Thira Vekaria</v>
      </c>
      <c r="C11" s="20" t="str">
        <f>IFERROR(__xludf.DUMMYFUNCTION("""COMPUTED_VALUE"""),"Sports coordinator ")</f>
        <v>Sports coordinator </v>
      </c>
      <c r="D11" s="20" t="str">
        <f>IFERROR(__xludf.DUMMYFUNCTION("""COMPUTED_VALUE"""),"London")</f>
        <v>London</v>
      </c>
      <c r="E11" s="20" t="str">
        <f>IFERROR(__xludf.DUMMYFUNCTION("""COMPUTED_VALUE"""),"QMUL")</f>
        <v>QMUL</v>
      </c>
      <c r="F11" s="20" t="str">
        <f>IFERROR(__xludf.DUMMYFUNCTION("""COMPUTED_VALUE"""),"Badminton A (Mixed Doubles - no subs) - £18, 𝗔𝗠, Kho Kho A (Mixed 9 + 2 subs - min 2 of each gender) - £33, 𝗔𝗠, Kho Kho B (Mixed 9 + 2 subs - min 2 of each gender) - £33, 𝗔𝗠")</f>
        <v>Badminton A (Mixed Doubles - no subs) - £18, 𝗔𝗠, Kho Kho A (Mixed 9 + 2 subs - min 2 of each gender) - £33, 𝗔𝗠, Kho Kho B (Mixed 9 + 2 subs - min 2 of each gender) - £33, 𝗔𝗠</v>
      </c>
      <c r="G11" s="20" t="str">
        <f>IFERROR(__xludf.DUMMYFUNCTION("""COMPUTED_VALUE"""),"thira_v@hotmail.com")</f>
        <v>thira_v@hotmail.com</v>
      </c>
      <c r="H11" s="20" t="str">
        <f>IFERROR(__xludf.DUMMYFUNCTION("""COMPUTED_VALUE"""),"07368131098")</f>
        <v>07368131098</v>
      </c>
      <c r="I11" s="20" t="str">
        <f>IFERROR(__xludf.DUMMYFUNCTION("""COMPUTED_VALUE"""),"priyesh.shah512@gmail.com")</f>
        <v>priyesh.shah512@gmail.com</v>
      </c>
      <c r="J11" s="20" t="str">
        <f>IFERROR(__xludf.DUMMYFUNCTION("""COMPUTED_VALUE"""),"07716 113318")</f>
        <v>07716 113318</v>
      </c>
      <c r="K11" s="20"/>
      <c r="L11" s="21" t="str">
        <f>IFERROR(__xludf.DUMMYFUNCTION("""COMPUTED_VALUE"""),"Of Course 🤩")</f>
        <v>Of Course 🤩</v>
      </c>
      <c r="M11" s="22" t="b">
        <v>0</v>
      </c>
      <c r="O11" s="22" t="b">
        <v>0</v>
      </c>
      <c r="P11" s="23" t="b">
        <v>0</v>
      </c>
    </row>
    <row r="12" hidden="1">
      <c r="A12" s="24">
        <f>IFERROR(__xludf.DUMMYFUNCTION("""COMPUTED_VALUE"""),45962.70907512731)</f>
        <v>45962.70908</v>
      </c>
      <c r="B12" s="20" t="str">
        <f>IFERROR(__xludf.DUMMYFUNCTION("""COMPUTED_VALUE"""),"Meera Malaiya")</f>
        <v>Meera Malaiya</v>
      </c>
      <c r="C12" s="20" t="str">
        <f>IFERROR(__xludf.DUMMYFUNCTION("""COMPUTED_VALUE"""),"President ")</f>
        <v>President </v>
      </c>
      <c r="D12" s="20" t="str">
        <f>IFERROR(__xludf.DUMMYFUNCTION("""COMPUTED_VALUE"""),"South")</f>
        <v>South</v>
      </c>
      <c r="E12" s="20"/>
      <c r="F12" s="20" t="str">
        <f>IFERROR(__xludf.DUMMYFUNCTION("""COMPUTED_VALUE"""),"Badminton A (Mixed Doubles - no subs) - £18, 𝗔𝗠, Kho Kho A (Mixed 9 + 2 subs - min 2 of each gender) - £33, 𝗔𝗠, Football A (Mens 5 + 3 subs) - £33, 𝗣𝗠")</f>
        <v>Badminton A (Mixed Doubles - no subs) - £18, 𝗔𝗠, Kho Kho A (Mixed 9 + 2 subs - min 2 of each gender) - £33, 𝗔𝗠, Football A (Mens 5 + 3 subs) - £33, 𝗣𝗠</v>
      </c>
      <c r="G12" s="20" t="str">
        <f>IFERROR(__xludf.DUMMYFUNCTION("""COMPUTED_VALUE"""),"meeramalaiya@gmail.com")</f>
        <v>meeramalaiya@gmail.com</v>
      </c>
      <c r="H12" s="20" t="str">
        <f>IFERROR(__xludf.DUMMYFUNCTION("""COMPUTED_VALUE"""),"07436377072")</f>
        <v>07436377072</v>
      </c>
      <c r="I12" s="20" t="str">
        <f>IFERROR(__xludf.DUMMYFUNCTION("""COMPUTED_VALUE"""),"aravindnachiappan@gmail.com")</f>
        <v>aravindnachiappan@gmail.com</v>
      </c>
      <c r="J12" s="20" t="str">
        <f>IFERROR(__xludf.DUMMYFUNCTION("""COMPUTED_VALUE"""),"07442426846")</f>
        <v>07442426846</v>
      </c>
      <c r="K12" s="20" t="str">
        <f>IFERROR(__xludf.DUMMYFUNCTION("""COMPUTED_VALUE"""),"-")</f>
        <v>-</v>
      </c>
      <c r="L12" s="21" t="str">
        <f>IFERROR(__xludf.DUMMYFUNCTION("""COMPUTED_VALUE"""),"Yes 🔥")</f>
        <v>Yes 🔥</v>
      </c>
      <c r="M12" s="22" t="b">
        <v>0</v>
      </c>
      <c r="O12" s="22" t="b">
        <v>0</v>
      </c>
      <c r="P12" s="23" t="b">
        <v>0</v>
      </c>
    </row>
    <row r="13">
      <c r="A13" s="24">
        <f>IFERROR(__xludf.DUMMYFUNCTION("""COMPUTED_VALUE"""),45962.731583252316)</f>
        <v>45962.73158</v>
      </c>
      <c r="B13" s="20" t="str">
        <f>IFERROR(__xludf.DUMMYFUNCTION("""COMPUTED_VALUE"""),"Dhanisha Patel ")</f>
        <v>Dhanisha Patel </v>
      </c>
      <c r="C13" s="20" t="str">
        <f>IFERROR(__xludf.DUMMYFUNCTION("""COMPUTED_VALUE"""),"President ")</f>
        <v>President </v>
      </c>
      <c r="D13" s="20" t="str">
        <f>IFERROR(__xludf.DUMMYFUNCTION("""COMPUTED_VALUE"""),"London")</f>
        <v>London</v>
      </c>
      <c r="E13" s="20" t="str">
        <f>IFERROR(__xludf.DUMMYFUNCTION("""COMPUTED_VALUE"""),"City")</f>
        <v>City</v>
      </c>
      <c r="F13" s="20" t="str">
        <f>IFERROR(__xludf.DUMMYFUNCTION("""COMPUTED_VALUE"""),"Badminton A (Mixed Doubles - no subs) - £18, 𝗔𝗠, Kho Kho A (Mixed 9 + 2 subs - min 2 of each gender) - £33, 𝗔𝗠, Netball A (Womens 7 + 3 subs) - £33, 𝗣𝗠, Football A (Mens 5 + 3 subs) - £33, 𝗣𝗠")</f>
        <v>Badminton A (Mixed Doubles - no subs) - £18, 𝗔𝗠, Kho Kho A (Mixed 9 + 2 subs - min 2 of each gender) - £33, 𝗔𝗠, Netball A (Womens 7 + 3 subs) - £33, 𝗣𝗠, Football A (Mens 5 + 3 subs) - £33, 𝗣𝗠</v>
      </c>
      <c r="G13" s="20" t="str">
        <f>IFERROR(__xludf.DUMMYFUNCTION("""COMPUTED_VALUE"""),"dhanisha.p155@gmail.com ")</f>
        <v>dhanisha.p155@gmail.com </v>
      </c>
      <c r="H13" s="20" t="str">
        <f>IFERROR(__xludf.DUMMYFUNCTION("""COMPUTED_VALUE"""),"7401982997")</f>
        <v>7401982997</v>
      </c>
      <c r="I13" s="20" t="str">
        <f>IFERROR(__xludf.DUMMYFUNCTION("""COMPUTED_VALUE"""),"RishiSoni.686@gmail.com ")</f>
        <v>RishiSoni.686@gmail.com </v>
      </c>
      <c r="J13" s="20" t="str">
        <f>IFERROR(__xludf.DUMMYFUNCTION("""COMPUTED_VALUE"""),"7519606481")</f>
        <v>7519606481</v>
      </c>
      <c r="K13" s="20"/>
      <c r="L13" s="21" t="str">
        <f>IFERROR(__xludf.DUMMYFUNCTION("""COMPUTED_VALUE"""),"Yes 🔥")</f>
        <v>Yes 🔥</v>
      </c>
      <c r="M13" s="22" t="b">
        <v>0</v>
      </c>
      <c r="O13" s="22" t="b">
        <v>0</v>
      </c>
      <c r="P13" s="23" t="b">
        <v>0</v>
      </c>
    </row>
    <row r="14">
      <c r="A14" s="24">
        <f>IFERROR(__xludf.DUMMYFUNCTION("""COMPUTED_VALUE"""),45962.94356775463)</f>
        <v>45962.94357</v>
      </c>
      <c r="B14" s="20" t="str">
        <f>IFERROR(__xludf.DUMMYFUNCTION("""COMPUTED_VALUE"""),"Karthik Venkatesh ")</f>
        <v>Karthik Venkatesh </v>
      </c>
      <c r="C14" s="20" t="str">
        <f>IFERROR(__xludf.DUMMYFUNCTION("""COMPUTED_VALUE"""),"President ")</f>
        <v>President </v>
      </c>
      <c r="D14" s="20" t="str">
        <f>IFERROR(__xludf.DUMMYFUNCTION("""COMPUTED_VALUE"""),"London")</f>
        <v>London</v>
      </c>
      <c r="E14" s="20" t="str">
        <f>IFERROR(__xludf.DUMMYFUNCTION("""COMPUTED_VALUE"""),"Imperial")</f>
        <v>Imperial</v>
      </c>
      <c r="F14" s="20" t="str">
        <f>IFERROR(__xludf.DUMMYFUNCTION("""COMPUTED_VALUE"""),"Badminton A (Mixed Doubles - no subs) - £18, 𝗔𝗠, Badminton B (Mixed Doubles - no subs) - £18, 𝗔𝗠, Kho Kho A (Mixed 9 + 2 subs - min 2 of each gender) - £33, 𝗔𝗠, Kho Kho B (Mixed 9 + 2 subs - min 2 of each gender) - £33, 𝗔𝗠, Football A (Mens 5 + 3 "&amp;"subs) - £33, 𝗣𝗠, Football B (Mens 5 + 3 subs) - £33, 𝗣𝗠, Kabaddi A (Mens 7 + 2 Subs) - £33, 𝗣𝗠, Kabaddi B (Mens 7 + 2 Subs) - £33, 𝗣𝗠")</f>
        <v>Badminton A (Mixed Doubles - no subs) - £18, 𝗔𝗠, Badminton B (Mixed Doubles - no subs) - £18, 𝗔𝗠, Kho Kho A (Mixed 9 + 2 subs - min 2 of each gender) - £33, 𝗔𝗠, Kho Kho B (Mixed 9 + 2 subs - min 2 of each gender) - £33, 𝗔𝗠, Football A (Mens 5 + 3 subs) - £33, 𝗣𝗠, Football B (Mens 5 + 3 subs) - £33, 𝗣𝗠, Kabaddi A (Mens 7 + 2 Subs) - £33, 𝗣𝗠, Kabaddi B (Mens 7 + 2 Subs) - £33, 𝗣𝗠</v>
      </c>
      <c r="G14" s="20" t="str">
        <f>IFERROR(__xludf.DUMMYFUNCTION("""COMPUTED_VALUE"""),"karthik.venkatesh23@imperial.ac.uk")</f>
        <v>karthik.venkatesh23@imperial.ac.uk</v>
      </c>
      <c r="H14" s="20" t="str">
        <f>IFERROR(__xludf.DUMMYFUNCTION("""COMPUTED_VALUE"""),"07446108841")</f>
        <v>07446108841</v>
      </c>
      <c r="I14" s="20" t="str">
        <f>IFERROR(__xludf.DUMMYFUNCTION("""COMPUTED_VALUE"""),"neela.billur24@imperial.ac.uk")</f>
        <v>neela.billur24@imperial.ac.uk</v>
      </c>
      <c r="J14" s="20" t="str">
        <f>IFERROR(__xludf.DUMMYFUNCTION("""COMPUTED_VALUE"""),"7880 238120")</f>
        <v>7880 238120</v>
      </c>
      <c r="K14" s="20"/>
      <c r="L14" s="21" t="str">
        <f>IFERROR(__xludf.DUMMYFUNCTION("""COMPUTED_VALUE"""),"Yes 🔥")</f>
        <v>Yes 🔥</v>
      </c>
      <c r="M14" s="22" t="b">
        <v>0</v>
      </c>
      <c r="O14" s="22" t="b">
        <v>0</v>
      </c>
      <c r="P14" s="23" t="b">
        <v>0</v>
      </c>
    </row>
    <row r="15">
      <c r="A15" s="24">
        <f>IFERROR(__xludf.DUMMYFUNCTION("""COMPUTED_VALUE"""),45962.94795553241)</f>
        <v>45962.94796</v>
      </c>
      <c r="B15" s="20" t="str">
        <f>IFERROR(__xludf.DUMMYFUNCTION("""COMPUTED_VALUE"""),"Boshupriyo Bijan Mandal")</f>
        <v>Boshupriyo Bijan Mandal</v>
      </c>
      <c r="C15" s="20" t="str">
        <f>IFERROR(__xludf.DUMMYFUNCTION("""COMPUTED_VALUE"""),"Sport coordinator ")</f>
        <v>Sport coordinator </v>
      </c>
      <c r="D15" s="20" t="str">
        <f>IFERROR(__xludf.DUMMYFUNCTION("""COMPUTED_VALUE"""),"London")</f>
        <v>London</v>
      </c>
      <c r="E15" s="20" t="str">
        <f>IFERROR(__xludf.DUMMYFUNCTION("""COMPUTED_VALUE"""),"Brunel")</f>
        <v>Brunel</v>
      </c>
      <c r="F15" s="20" t="str">
        <f>IFERROR(__xludf.DUMMYFUNCTION("""COMPUTED_VALUE"""),"Badminton A (Mixed Doubles - no subs) - £18, 𝗔𝗠, Badminton B (Mixed Doubles - no subs) - £18, 𝗔𝗠, Netball A (Womens 7 + 3 subs) - £33, 𝗣𝗠, Football A (Mens 5 + 3 subs) - £33, 𝗣𝗠, Football B (Mens 5 + 3 subs) - £33, 𝗣𝗠")</f>
        <v>Badminton A (Mixed Doubles - no subs) - £18, 𝗔𝗠, Badminton B (Mixed Doubles - no subs) - £18, 𝗔𝗠, Netball A (Womens 7 + 3 subs) - £33, 𝗣𝗠, Football A (Mens 5 + 3 subs) - £33, 𝗣𝗠, Football B (Mens 5 + 3 subs) - £33, 𝗣𝗠</v>
      </c>
      <c r="G15" s="20" t="str">
        <f>IFERROR(__xludf.DUMMYFUNCTION("""COMPUTED_VALUE"""),"20boshu05@gmail.com")</f>
        <v>20boshu05@gmail.com</v>
      </c>
      <c r="H15" s="20" t="str">
        <f>IFERROR(__xludf.DUMMYFUNCTION("""COMPUTED_VALUE"""),"07488275942")</f>
        <v>07488275942</v>
      </c>
      <c r="I15" s="20" t="str">
        <f>IFERROR(__xludf.DUMMYFUNCTION("""COMPUTED_VALUE"""),"20boshu05@gmail.com")</f>
        <v>20boshu05@gmail.com</v>
      </c>
      <c r="J15" s="20" t="str">
        <f>IFERROR(__xludf.DUMMYFUNCTION("""COMPUTED_VALUE"""),"7305265464")</f>
        <v>7305265464</v>
      </c>
      <c r="K15" s="20"/>
      <c r="L15" s="21" t="str">
        <f>IFERROR(__xludf.DUMMYFUNCTION("""COMPUTED_VALUE"""),"Yes 🔥")</f>
        <v>Yes 🔥</v>
      </c>
      <c r="M15" s="22" t="b">
        <v>0</v>
      </c>
      <c r="O15" s="22" t="b">
        <v>0</v>
      </c>
      <c r="P15" s="23" t="b">
        <v>0</v>
      </c>
    </row>
    <row r="16">
      <c r="A16" s="24">
        <f>IFERROR(__xludf.DUMMYFUNCTION("""COMPUTED_VALUE"""),45962.96428994213)</f>
        <v>45962.96429</v>
      </c>
      <c r="B16" s="20" t="str">
        <f>IFERROR(__xludf.DUMMYFUNCTION("""COMPUTED_VALUE"""),"Nikita Biju ")</f>
        <v>Nikita Biju </v>
      </c>
      <c r="C16" s="20" t="str">
        <f>IFERROR(__xludf.DUMMYFUNCTION("""COMPUTED_VALUE"""),"Sport")</f>
        <v>Sport</v>
      </c>
      <c r="D16" s="20" t="str">
        <f>IFERROR(__xludf.DUMMYFUNCTION("""COMPUTED_VALUE"""),"London")</f>
        <v>London</v>
      </c>
      <c r="E16" s="20" t="str">
        <f>IFERROR(__xludf.DUMMYFUNCTION("""COMPUTED_VALUE"""),"LSE")</f>
        <v>LSE</v>
      </c>
      <c r="F16" s="20" t="str">
        <f>IFERROR(__xludf.DUMMYFUNCTION("""COMPUTED_VALUE"""),"Badminton A (Mixed Doubles - no subs) - £18, 𝗔𝗠, Badminton B (Mixed Doubles - no subs) - £18, 𝗔𝗠, Netball A (Womens 7 + 3 subs) - £33, 𝗣𝗠, Football A (Mens 5 + 3 subs) - £33, 𝗣𝗠, Kabaddi A (Mens 7 + 2 Subs) - £33, 𝗣𝗠, Kabaddi B (Mens 7 + 2 Subs)"&amp;" - £33, 𝗣𝗠")</f>
        <v>Badminton A (Mixed Doubles - no subs) - £18, 𝗔𝗠, Badminton B (Mixed Doubles - no subs) - £18, 𝗔𝗠, Netball A (Womens 7 + 3 subs) - £33, 𝗣𝗠, Football A (Mens 5 + 3 subs) - £33, 𝗣𝗠, Kabaddi A (Mens 7 + 2 Subs) - £33, 𝗣𝗠, Kabaddi B (Mens 7 + 2 Subs) - £33, 𝗣𝗠</v>
      </c>
      <c r="G16" s="20" t="str">
        <f>IFERROR(__xludf.DUMMYFUNCTION("""COMPUTED_VALUE"""),"nikitabiju2006@gmail.com")</f>
        <v>nikitabiju2006@gmail.com</v>
      </c>
      <c r="H16" s="20" t="str">
        <f>IFERROR(__xludf.DUMMYFUNCTION("""COMPUTED_VALUE"""),"07914152044")</f>
        <v>07914152044</v>
      </c>
      <c r="I16" s="20" t="str">
        <f>IFERROR(__xludf.DUMMYFUNCTION("""COMPUTED_VALUE"""),"siya.ambekar@me.com")</f>
        <v>siya.ambekar@me.com</v>
      </c>
      <c r="J16" s="20" t="str">
        <f>IFERROR(__xludf.DUMMYFUNCTION("""COMPUTED_VALUE"""),"+44 7943 974119")</f>
        <v>+44 7943 974119</v>
      </c>
      <c r="K16" s="20"/>
      <c r="L16" s="21" t="str">
        <f>IFERROR(__xludf.DUMMYFUNCTION("""COMPUTED_VALUE"""),"Of Course 🤩")</f>
        <v>Of Course 🤩</v>
      </c>
      <c r="M16" s="22" t="b">
        <v>0</v>
      </c>
      <c r="O16" s="22" t="b">
        <v>0</v>
      </c>
      <c r="P16" s="23" t="b">
        <v>0</v>
      </c>
    </row>
    <row r="17" hidden="1">
      <c r="A17" s="24">
        <f>IFERROR(__xludf.DUMMYFUNCTION("""COMPUTED_VALUE"""),45962.98798174769)</f>
        <v>45962.98798</v>
      </c>
      <c r="B17" s="20" t="str">
        <f>IFERROR(__xludf.DUMMYFUNCTION("""COMPUTED_VALUE"""),"Tanay")</f>
        <v>Tanay</v>
      </c>
      <c r="C17" s="20" t="str">
        <f>IFERROR(__xludf.DUMMYFUNCTION("""COMPUTED_VALUE"""),"Sports")</f>
        <v>Sports</v>
      </c>
      <c r="D17" s="20" t="str">
        <f>IFERROR(__xludf.DUMMYFUNCTION("""COMPUTED_VALUE"""),"South")</f>
        <v>South</v>
      </c>
      <c r="E17" s="20"/>
      <c r="F17" s="20" t="str">
        <f>IFERROR(__xludf.DUMMYFUNCTION("""COMPUTED_VALUE"""),"Badminton A (Mixed Doubles - no subs) - £18, 𝗔𝗠, Football A (Mens 5 + 3 subs) - £33, 𝗣𝗠")</f>
        <v>Badminton A (Mixed Doubles - no subs) - £18, 𝗔𝗠, Football A (Mens 5 + 3 subs) - £33, 𝗣𝗠</v>
      </c>
      <c r="G17" s="20" t="str">
        <f>IFERROR(__xludf.DUMMYFUNCTION("""COMPUTED_VALUE"""),"Tjr72@bath.ac.uk")</f>
        <v>Tjr72@bath.ac.uk</v>
      </c>
      <c r="H17" s="20" t="str">
        <f>IFERROR(__xludf.DUMMYFUNCTION("""COMPUTED_VALUE"""),"07876660950")</f>
        <v>07876660950</v>
      </c>
      <c r="I17" s="20" t="str">
        <f>IFERROR(__xludf.DUMMYFUNCTION("""COMPUTED_VALUE"""),"krutagnasuresh@gmail.com")</f>
        <v>krutagnasuresh@gmail.com</v>
      </c>
      <c r="J17" s="20" t="str">
        <f>IFERROR(__xludf.DUMMYFUNCTION("""COMPUTED_VALUE"""),"07721057836")</f>
        <v>07721057836</v>
      </c>
      <c r="K17" s="20"/>
      <c r="L17" s="21" t="str">
        <f>IFERROR(__xludf.DUMMYFUNCTION("""COMPUTED_VALUE"""),"Of Course 🤩")</f>
        <v>Of Course 🤩</v>
      </c>
      <c r="M17" s="22" t="b">
        <v>0</v>
      </c>
      <c r="O17" s="22" t="b">
        <v>0</v>
      </c>
      <c r="P17" s="23" t="b">
        <v>0</v>
      </c>
    </row>
    <row r="18">
      <c r="A18" s="24">
        <f>IFERROR(__xludf.DUMMYFUNCTION("""COMPUTED_VALUE"""),45962.994435914356)</f>
        <v>45962.99444</v>
      </c>
      <c r="B18" s="20" t="str">
        <f>IFERROR(__xludf.DUMMYFUNCTION("""COMPUTED_VALUE"""),"Varun Shivakumar")</f>
        <v>Varun Shivakumar</v>
      </c>
      <c r="C18" s="20" t="str">
        <f>IFERROR(__xludf.DUMMYFUNCTION("""COMPUTED_VALUE"""),"Events Coordinator ")</f>
        <v>Events Coordinator </v>
      </c>
      <c r="D18" s="20" t="str">
        <f>IFERROR(__xludf.DUMMYFUNCTION("""COMPUTED_VALUE"""),"London")</f>
        <v>London</v>
      </c>
      <c r="E18" s="20" t="str">
        <f>IFERROR(__xludf.DUMMYFUNCTION("""COMPUTED_VALUE"""),"Royal Holloway")</f>
        <v>Royal Holloway</v>
      </c>
      <c r="F18" s="20" t="str">
        <f>IFERROR(__xludf.DUMMYFUNCTION("""COMPUTED_VALUE"""),"Badminton A (Mixed Doubles - no subs) - £18, 𝗔𝗠, Kho Kho B (Mixed 9 + 2 subs - min 2 of each gender) - £33, 𝗔𝗠, Netball B (Womens 7 + 3 subs) - £33, 𝗣𝗠, Football A (Mens 5 + 3 subs) - £33, 𝗣𝗠, Kabaddi B (Mens 7 + 2 Subs) - £33, 𝗣𝗠")</f>
        <v>Badminton A (Mixed Doubles - no subs) - £18, 𝗔𝗠, Kho Kho B (Mixed 9 + 2 subs - min 2 of each gender) - £33, 𝗔𝗠, Netball B (Womens 7 + 3 subs) - £33, 𝗣𝗠, Football A (Mens 5 + 3 subs) - £33, 𝗣𝗠, Kabaddi B (Mens 7 + 2 Subs) - £33, 𝗣𝗠</v>
      </c>
      <c r="G18" s="20" t="str">
        <f>IFERROR(__xludf.DUMMYFUNCTION("""COMPUTED_VALUE"""),"varun6223@gmail.com")</f>
        <v>varun6223@gmail.com</v>
      </c>
      <c r="H18" s="20" t="str">
        <f>IFERROR(__xludf.DUMMYFUNCTION("""COMPUTED_VALUE"""),"7769413128")</f>
        <v>7769413128</v>
      </c>
      <c r="I18" s="20" t="str">
        <f>IFERROR(__xludf.DUMMYFUNCTION("""COMPUTED_VALUE"""),"schandarana01@gmail.com")</f>
        <v>schandarana01@gmail.com</v>
      </c>
      <c r="J18" s="20" t="str">
        <f>IFERROR(__xludf.DUMMYFUNCTION("""COMPUTED_VALUE"""),"+44 7977 336531")</f>
        <v>+44 7977 336531</v>
      </c>
      <c r="K18" s="20"/>
      <c r="L18" s="21" t="str">
        <f>IFERROR(__xludf.DUMMYFUNCTION("""COMPUTED_VALUE"""),"Of Course 🤩")</f>
        <v>Of Course 🤩</v>
      </c>
      <c r="M18" s="22" t="b">
        <v>0</v>
      </c>
      <c r="O18" s="22" t="b">
        <v>0</v>
      </c>
      <c r="P18" s="23" t="b">
        <v>0</v>
      </c>
    </row>
    <row r="19" hidden="1">
      <c r="A19" s="24">
        <f>IFERROR(__xludf.DUMMYFUNCTION("""COMPUTED_VALUE"""),45963.14898618056)</f>
        <v>45963.14899</v>
      </c>
      <c r="B19" s="20" t="str">
        <f>IFERROR(__xludf.DUMMYFUNCTION("""COMPUTED_VALUE"""),"Abhimanyu Tyagi")</f>
        <v>Abhimanyu Tyagi</v>
      </c>
      <c r="C19" s="20" t="str">
        <f>IFERROR(__xludf.DUMMYFUNCTION("""COMPUTED_VALUE"""),"Football Rep")</f>
        <v>Football Rep</v>
      </c>
      <c r="D19" s="20" t="str">
        <f>IFERROR(__xludf.DUMMYFUNCTION("""COMPUTED_VALUE"""),"South")</f>
        <v>South</v>
      </c>
      <c r="E19" s="20"/>
      <c r="F19" s="20" t="str">
        <f>IFERROR(__xludf.DUMMYFUNCTION("""COMPUTED_VALUE"""),"Football A (Mens 5 + 3 subs) - £33, 𝗣𝗠")</f>
        <v>Football A (Mens 5 + 3 subs) - £33, 𝗣𝗠</v>
      </c>
      <c r="G19" s="20" t="str">
        <f>IFERROR(__xludf.DUMMYFUNCTION("""COMPUTED_VALUE"""),"at16g24&amp;soton.ac.uk")</f>
        <v>at16g24&amp;soton.ac.uk</v>
      </c>
      <c r="H19" s="20" t="str">
        <f>IFERROR(__xludf.DUMMYFUNCTION("""COMPUTED_VALUE"""),"079572965;2")</f>
        <v>079572965;2</v>
      </c>
      <c r="I19" s="20" t="str">
        <f>IFERROR(__xludf.DUMMYFUNCTION("""COMPUTED_VALUE"""),"07421520335")</f>
        <v>07421520335</v>
      </c>
      <c r="J19" s="20" t="str">
        <f>IFERROR(__xludf.DUMMYFUNCTION("""COMPUTED_VALUE"""),"7411520335")</f>
        <v>7411520335</v>
      </c>
      <c r="K19" s="20" t="str">
        <f>IFERROR(__xludf.DUMMYFUNCTION("""COMPUTED_VALUE"""),"No")</f>
        <v>No</v>
      </c>
      <c r="L19" s="21" t="str">
        <f>IFERROR(__xludf.DUMMYFUNCTION("""COMPUTED_VALUE"""),"Yes 🔥")</f>
        <v>Yes 🔥</v>
      </c>
      <c r="M19" s="22" t="b">
        <v>0</v>
      </c>
      <c r="O19" s="22" t="b">
        <v>0</v>
      </c>
      <c r="P19" s="23" t="b">
        <v>0</v>
      </c>
    </row>
    <row r="20">
      <c r="A20" s="24">
        <f>IFERROR(__xludf.DUMMYFUNCTION("""COMPUTED_VALUE"""),45964.57937820602)</f>
        <v>45964.57938</v>
      </c>
      <c r="B20" s="20" t="str">
        <f>IFERROR(__xludf.DUMMYFUNCTION("""COMPUTED_VALUE"""),"Shiv Patel")</f>
        <v>Shiv Patel</v>
      </c>
      <c r="C20" s="20" t="str">
        <f>IFERROR(__xludf.DUMMYFUNCTION("""COMPUTED_VALUE"""),"Football sports coordinator ")</f>
        <v>Football sports coordinator </v>
      </c>
      <c r="D20" s="20" t="str">
        <f>IFERROR(__xludf.DUMMYFUNCTION("""COMPUTED_VALUE"""),"London")</f>
        <v>London</v>
      </c>
      <c r="E20" s="20" t="str">
        <f>IFERROR(__xludf.DUMMYFUNCTION("""COMPUTED_VALUE"""),"Imperial")</f>
        <v>Imperial</v>
      </c>
      <c r="F20" s="20" t="str">
        <f>IFERROR(__xludf.DUMMYFUNCTION("""COMPUTED_VALUE"""),"Football A (Mens 5 + 3 subs) - £33, 𝗣𝗠")</f>
        <v>Football A (Mens 5 + 3 subs) - £33, 𝗣𝗠</v>
      </c>
      <c r="G20" s="20" t="str">
        <f>IFERROR(__xludf.DUMMYFUNCTION("""COMPUTED_VALUE"""),"Sp1824@ic.ac.uk")</f>
        <v>Sp1824@ic.ac.uk</v>
      </c>
      <c r="H20" s="20" t="str">
        <f>IFERROR(__xludf.DUMMYFUNCTION("""COMPUTED_VALUE"""),"07421727340")</f>
        <v>07421727340</v>
      </c>
      <c r="I20" s="20" t="str">
        <f>IFERROR(__xludf.DUMMYFUNCTION("""COMPUTED_VALUE"""),"karthik.venkatesh23@imperial.ac.uk")</f>
        <v>karthik.venkatesh23@imperial.ac.uk</v>
      </c>
      <c r="J20" s="20" t="str">
        <f>IFERROR(__xludf.DUMMYFUNCTION("""COMPUTED_VALUE"""),"‪07446108841‬")</f>
        <v>‪07446108841‬</v>
      </c>
      <c r="K20" s="20" t="str">
        <f>IFERROR(__xludf.DUMMYFUNCTION("""COMPUTED_VALUE"""),"No")</f>
        <v>No</v>
      </c>
      <c r="L20" s="21" t="str">
        <f>IFERROR(__xludf.DUMMYFUNCTION("""COMPUTED_VALUE"""),"Yes 🔥")</f>
        <v>Yes 🔥</v>
      </c>
      <c r="M20" s="22" t="b">
        <v>0</v>
      </c>
      <c r="O20" s="22" t="b">
        <v>0</v>
      </c>
      <c r="P20" s="23" t="b">
        <v>0</v>
      </c>
    </row>
    <row r="21" hidden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1"/>
      <c r="M21" s="22" t="b">
        <v>0</v>
      </c>
      <c r="O21" s="22" t="b">
        <v>0</v>
      </c>
      <c r="P21" s="23" t="b">
        <v>0</v>
      </c>
    </row>
    <row r="22" hidden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1"/>
      <c r="M22" s="22" t="b">
        <v>0</v>
      </c>
      <c r="O22" s="22" t="b">
        <v>0</v>
      </c>
      <c r="P22" s="23" t="b">
        <v>0</v>
      </c>
    </row>
    <row r="23" hidden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1"/>
      <c r="M23" s="22" t="b">
        <v>0</v>
      </c>
      <c r="O23" s="22" t="b">
        <v>0</v>
      </c>
      <c r="P23" s="23" t="b">
        <v>0</v>
      </c>
    </row>
    <row r="24" hidden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1"/>
      <c r="M24" s="22" t="b">
        <v>0</v>
      </c>
      <c r="O24" s="22" t="b">
        <v>0</v>
      </c>
      <c r="P24" s="23" t="b">
        <v>0</v>
      </c>
    </row>
    <row r="25" hidden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1"/>
      <c r="M25" s="22" t="b">
        <v>0</v>
      </c>
      <c r="O25" s="22" t="b">
        <v>0</v>
      </c>
      <c r="P25" s="23" t="b">
        <v>0</v>
      </c>
    </row>
    <row r="26" hidden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1"/>
      <c r="M26" s="22" t="b">
        <v>0</v>
      </c>
      <c r="O26" s="22" t="b">
        <v>0</v>
      </c>
      <c r="P26" s="23" t="b">
        <v>0</v>
      </c>
    </row>
    <row r="27" hidden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1"/>
      <c r="M27" s="22" t="b">
        <v>0</v>
      </c>
      <c r="O27" s="22" t="b">
        <v>0</v>
      </c>
      <c r="P27" s="23" t="b">
        <v>0</v>
      </c>
    </row>
    <row r="28" hidden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1"/>
      <c r="M28" s="22" t="b">
        <v>0</v>
      </c>
      <c r="O28" s="22" t="b">
        <v>0</v>
      </c>
      <c r="P28" s="23" t="b">
        <v>0</v>
      </c>
    </row>
    <row r="29" hidden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1"/>
      <c r="M29" s="22" t="b">
        <v>0</v>
      </c>
      <c r="O29" s="22" t="b">
        <v>0</v>
      </c>
      <c r="P29" s="23" t="b">
        <v>0</v>
      </c>
    </row>
    <row r="30" hidden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/>
      <c r="M30" s="22" t="b">
        <v>0</v>
      </c>
      <c r="O30" s="22" t="b">
        <v>0</v>
      </c>
      <c r="P30" s="23" t="b">
        <v>0</v>
      </c>
    </row>
    <row r="31" hidden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1"/>
      <c r="M31" s="22" t="b">
        <v>0</v>
      </c>
      <c r="O31" s="22" t="b">
        <v>0</v>
      </c>
      <c r="P31" s="23" t="b">
        <v>0</v>
      </c>
    </row>
    <row r="32" hidden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1"/>
      <c r="M32" s="22" t="b">
        <v>0</v>
      </c>
      <c r="O32" s="22" t="b">
        <v>0</v>
      </c>
      <c r="P32" s="23" t="b">
        <v>0</v>
      </c>
    </row>
    <row r="33" hidden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1"/>
      <c r="M33" s="22" t="b">
        <v>0</v>
      </c>
      <c r="O33" s="22" t="b">
        <v>0</v>
      </c>
      <c r="P33" s="23" t="b">
        <v>0</v>
      </c>
    </row>
    <row r="34" hidden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1"/>
      <c r="M34" s="22" t="b">
        <v>0</v>
      </c>
      <c r="O34" s="22" t="b">
        <v>0</v>
      </c>
      <c r="P34" s="23" t="b">
        <v>0</v>
      </c>
    </row>
    <row r="35" hidden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1"/>
      <c r="M35" s="22" t="b">
        <v>0</v>
      </c>
      <c r="O35" s="22" t="b">
        <v>0</v>
      </c>
      <c r="P35" s="23" t="b">
        <v>0</v>
      </c>
    </row>
    <row r="36" hidden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1"/>
      <c r="M36" s="22" t="b">
        <v>0</v>
      </c>
      <c r="O36" s="22" t="b">
        <v>0</v>
      </c>
      <c r="P36" s="23" t="b">
        <v>0</v>
      </c>
    </row>
    <row r="37" hidden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1"/>
      <c r="M37" s="22" t="b">
        <v>0</v>
      </c>
      <c r="O37" s="22" t="b">
        <v>0</v>
      </c>
      <c r="P37" s="23" t="b">
        <v>0</v>
      </c>
    </row>
    <row r="38" hidden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1"/>
      <c r="M38" s="22" t="b">
        <v>0</v>
      </c>
      <c r="O38" s="22" t="b">
        <v>0</v>
      </c>
      <c r="P38" s="23" t="b">
        <v>0</v>
      </c>
    </row>
    <row r="39" hidden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1"/>
      <c r="M39" s="22" t="b">
        <v>0</v>
      </c>
      <c r="O39" s="22" t="b">
        <v>0</v>
      </c>
      <c r="P39" s="23" t="b">
        <v>0</v>
      </c>
    </row>
    <row r="40" hidden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1"/>
      <c r="M40" s="22" t="b">
        <v>0</v>
      </c>
      <c r="O40" s="22" t="b">
        <v>0</v>
      </c>
      <c r="P40" s="23" t="b">
        <v>0</v>
      </c>
    </row>
    <row r="41" hidden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1"/>
      <c r="M41" s="22" t="b">
        <v>0</v>
      </c>
      <c r="O41" s="22" t="b">
        <v>0</v>
      </c>
      <c r="P41" s="23" t="b">
        <v>0</v>
      </c>
    </row>
    <row r="42" hidden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1"/>
      <c r="M42" s="22" t="b">
        <v>0</v>
      </c>
      <c r="O42" s="22" t="b">
        <v>0</v>
      </c>
      <c r="P42" s="23" t="b">
        <v>0</v>
      </c>
    </row>
    <row r="43" hidden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1"/>
      <c r="M43" s="22" t="b">
        <v>0</v>
      </c>
      <c r="O43" s="22" t="b">
        <v>0</v>
      </c>
      <c r="P43" s="23" t="b">
        <v>0</v>
      </c>
    </row>
    <row r="44" hidden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1"/>
      <c r="M44" s="22" t="b">
        <v>0</v>
      </c>
      <c r="O44" s="22" t="b">
        <v>0</v>
      </c>
      <c r="P44" s="23" t="b">
        <v>0</v>
      </c>
    </row>
    <row r="45" hidden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1"/>
      <c r="M45" s="22" t="b">
        <v>0</v>
      </c>
      <c r="O45" s="22" t="b">
        <v>0</v>
      </c>
      <c r="P45" s="23" t="b">
        <v>0</v>
      </c>
    </row>
    <row r="46" hidden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1"/>
      <c r="M46" s="22" t="b">
        <v>0</v>
      </c>
      <c r="O46" s="22" t="b">
        <v>0</v>
      </c>
      <c r="P46" s="23" t="b">
        <v>0</v>
      </c>
    </row>
    <row r="47" hidden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1"/>
      <c r="M47" s="22" t="b">
        <v>0</v>
      </c>
      <c r="O47" s="22" t="b">
        <v>0</v>
      </c>
      <c r="P47" s="23" t="b">
        <v>0</v>
      </c>
    </row>
    <row r="48" hidden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1"/>
      <c r="M48" s="22" t="b">
        <v>0</v>
      </c>
      <c r="O48" s="22" t="b">
        <v>0</v>
      </c>
      <c r="P48" s="23" t="b">
        <v>0</v>
      </c>
    </row>
    <row r="49" hidden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1"/>
      <c r="M49" s="22" t="b">
        <v>0</v>
      </c>
      <c r="O49" s="22" t="b">
        <v>0</v>
      </c>
      <c r="P49" s="23" t="b">
        <v>0</v>
      </c>
    </row>
    <row r="50" hidden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1"/>
      <c r="M50" s="22" t="b">
        <v>0</v>
      </c>
      <c r="O50" s="22" t="b">
        <v>0</v>
      </c>
      <c r="P50" s="23" t="b">
        <v>0</v>
      </c>
    </row>
    <row r="51" hidden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1"/>
      <c r="M51" s="22" t="b">
        <v>0</v>
      </c>
      <c r="O51" s="22" t="b">
        <v>0</v>
      </c>
      <c r="P51" s="23" t="b">
        <v>0</v>
      </c>
    </row>
    <row r="52" hidden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1"/>
      <c r="M52" s="22" t="b">
        <v>0</v>
      </c>
      <c r="O52" s="22" t="b">
        <v>0</v>
      </c>
      <c r="P52" s="23" t="b">
        <v>0</v>
      </c>
    </row>
    <row r="53" hidden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1"/>
      <c r="M53" s="22" t="b">
        <v>0</v>
      </c>
      <c r="O53" s="22" t="b">
        <v>0</v>
      </c>
      <c r="P53" s="23" t="b">
        <v>0</v>
      </c>
    </row>
    <row r="54" hidden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1"/>
      <c r="M54" s="22" t="b">
        <v>0</v>
      </c>
      <c r="O54" s="22" t="b">
        <v>0</v>
      </c>
      <c r="P54" s="23" t="b">
        <v>0</v>
      </c>
    </row>
    <row r="55" hidden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1"/>
      <c r="M55" s="22" t="b">
        <v>0</v>
      </c>
      <c r="O55" s="22" t="b">
        <v>0</v>
      </c>
      <c r="P55" s="23" t="b">
        <v>0</v>
      </c>
    </row>
    <row r="56" hidden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1"/>
      <c r="M56" s="22" t="b">
        <v>0</v>
      </c>
      <c r="O56" s="22" t="b">
        <v>0</v>
      </c>
      <c r="P56" s="23" t="b">
        <v>0</v>
      </c>
    </row>
    <row r="57" hidden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1"/>
      <c r="M57" s="22" t="b">
        <v>0</v>
      </c>
      <c r="O57" s="22" t="b">
        <v>0</v>
      </c>
      <c r="P57" s="23" t="b">
        <v>0</v>
      </c>
    </row>
    <row r="58" hidden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1"/>
      <c r="M58" s="22" t="b">
        <v>0</v>
      </c>
      <c r="O58" s="22" t="b">
        <v>0</v>
      </c>
      <c r="P58" s="23" t="b">
        <v>0</v>
      </c>
    </row>
    <row r="59" hidden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1"/>
      <c r="M59" s="22" t="b">
        <v>0</v>
      </c>
      <c r="O59" s="22" t="b">
        <v>0</v>
      </c>
      <c r="P59" s="23" t="b">
        <v>0</v>
      </c>
    </row>
    <row r="60" hidden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1"/>
      <c r="M60" s="22" t="b">
        <v>0</v>
      </c>
      <c r="O60" s="22" t="b">
        <v>0</v>
      </c>
      <c r="P60" s="23" t="b">
        <v>0</v>
      </c>
    </row>
    <row r="61" hidden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1"/>
      <c r="M61" s="22" t="b">
        <v>0</v>
      </c>
      <c r="O61" s="22" t="b">
        <v>0</v>
      </c>
      <c r="P61" s="23" t="b">
        <v>0</v>
      </c>
    </row>
    <row r="62" hidden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1"/>
      <c r="M62" s="22" t="b">
        <v>0</v>
      </c>
      <c r="O62" s="22" t="b">
        <v>0</v>
      </c>
      <c r="P62" s="23" t="b">
        <v>0</v>
      </c>
    </row>
    <row r="63" hidden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1"/>
      <c r="M63" s="22" t="b">
        <v>0</v>
      </c>
      <c r="O63" s="22" t="b">
        <v>0</v>
      </c>
      <c r="P63" s="23" t="b">
        <v>0</v>
      </c>
    </row>
    <row r="64" hidden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1"/>
      <c r="M64" s="22" t="b">
        <v>0</v>
      </c>
      <c r="O64" s="22" t="b">
        <v>0</v>
      </c>
      <c r="P64" s="23" t="b">
        <v>0</v>
      </c>
    </row>
    <row r="65" hidden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1"/>
      <c r="M65" s="22" t="b">
        <v>0</v>
      </c>
      <c r="O65" s="22" t="b">
        <v>0</v>
      </c>
      <c r="P65" s="23" t="b">
        <v>0</v>
      </c>
    </row>
    <row r="66" hidden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1"/>
      <c r="M66" s="22" t="b">
        <v>0</v>
      </c>
      <c r="O66" s="22" t="b">
        <v>0</v>
      </c>
      <c r="P66" s="23" t="b">
        <v>0</v>
      </c>
    </row>
    <row r="67" hidden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1"/>
      <c r="M67" s="22" t="b">
        <v>0</v>
      </c>
      <c r="O67" s="22" t="b">
        <v>0</v>
      </c>
      <c r="P67" s="23" t="b">
        <v>0</v>
      </c>
    </row>
    <row r="68" hidden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1"/>
      <c r="M68" s="22" t="b">
        <v>0</v>
      </c>
      <c r="O68" s="22" t="b">
        <v>0</v>
      </c>
      <c r="P68" s="23" t="b">
        <v>0</v>
      </c>
    </row>
    <row r="69" hidden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1"/>
      <c r="M69" s="22" t="b">
        <v>0</v>
      </c>
      <c r="O69" s="22" t="b">
        <v>0</v>
      </c>
      <c r="P69" s="23" t="b">
        <v>0</v>
      </c>
    </row>
    <row r="70" hidden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1"/>
      <c r="M70" s="22" t="b">
        <v>0</v>
      </c>
      <c r="O70" s="22" t="b">
        <v>0</v>
      </c>
      <c r="P70" s="23" t="b">
        <v>0</v>
      </c>
    </row>
    <row r="71" hidden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1"/>
      <c r="M71" s="22" t="b">
        <v>0</v>
      </c>
      <c r="O71" s="22" t="b">
        <v>0</v>
      </c>
      <c r="P71" s="23" t="b">
        <v>0</v>
      </c>
    </row>
    <row r="72" hidden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1"/>
      <c r="M72" s="22" t="b">
        <v>0</v>
      </c>
      <c r="O72" s="22" t="b">
        <v>0</v>
      </c>
      <c r="P72" s="23" t="b">
        <v>0</v>
      </c>
    </row>
    <row r="73" hidden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1"/>
      <c r="M73" s="22" t="b">
        <v>0</v>
      </c>
      <c r="O73" s="22" t="b">
        <v>0</v>
      </c>
      <c r="P73" s="23" t="b">
        <v>0</v>
      </c>
    </row>
    <row r="74" hidden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1"/>
      <c r="M74" s="22" t="b">
        <v>0</v>
      </c>
      <c r="O74" s="22" t="b">
        <v>0</v>
      </c>
      <c r="P74" s="23" t="b">
        <v>0</v>
      </c>
    </row>
    <row r="75" hidden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1"/>
      <c r="M75" s="22" t="b">
        <v>0</v>
      </c>
      <c r="O75" s="22" t="b">
        <v>0</v>
      </c>
      <c r="P75" s="23" t="b">
        <v>0</v>
      </c>
    </row>
    <row r="76" hidden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1"/>
      <c r="M76" s="22" t="b">
        <v>0</v>
      </c>
      <c r="O76" s="22" t="b">
        <v>0</v>
      </c>
      <c r="P76" s="23" t="b">
        <v>0</v>
      </c>
    </row>
    <row r="77" hidden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1"/>
      <c r="M77" s="22" t="b">
        <v>0</v>
      </c>
      <c r="O77" s="22" t="b">
        <v>0</v>
      </c>
      <c r="P77" s="23" t="b">
        <v>0</v>
      </c>
    </row>
    <row r="78" hidden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1"/>
      <c r="M78" s="22" t="b">
        <v>0</v>
      </c>
      <c r="O78" s="22" t="b">
        <v>0</v>
      </c>
      <c r="P78" s="23" t="b">
        <v>0</v>
      </c>
    </row>
    <row r="79" hidden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1"/>
      <c r="M79" s="22" t="b">
        <v>0</v>
      </c>
      <c r="O79" s="22" t="b">
        <v>0</v>
      </c>
      <c r="P79" s="23" t="b">
        <v>0</v>
      </c>
    </row>
    <row r="80" hidden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1"/>
      <c r="M80" s="22" t="b">
        <v>0</v>
      </c>
      <c r="O80" s="22" t="b">
        <v>0</v>
      </c>
      <c r="P80" s="23" t="b">
        <v>0</v>
      </c>
    </row>
    <row r="81" hidden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1"/>
      <c r="M81" s="22" t="b">
        <v>0</v>
      </c>
      <c r="O81" s="22" t="b">
        <v>0</v>
      </c>
      <c r="P81" s="23" t="b">
        <v>0</v>
      </c>
    </row>
    <row r="82" hidden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1"/>
      <c r="M82" s="22" t="b">
        <v>0</v>
      </c>
      <c r="O82" s="22" t="b">
        <v>0</v>
      </c>
      <c r="P82" s="23" t="b">
        <v>0</v>
      </c>
    </row>
    <row r="83" hidden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1"/>
      <c r="M83" s="22" t="b">
        <v>0</v>
      </c>
      <c r="O83" s="22" t="b">
        <v>0</v>
      </c>
      <c r="P83" s="23" t="b">
        <v>0</v>
      </c>
    </row>
    <row r="84" hidden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1"/>
      <c r="M84" s="22" t="b">
        <v>0</v>
      </c>
      <c r="O84" s="22" t="b">
        <v>0</v>
      </c>
      <c r="P84" s="23" t="b">
        <v>0</v>
      </c>
    </row>
    <row r="85" hidden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1"/>
      <c r="M85" s="22" t="b">
        <v>0</v>
      </c>
      <c r="O85" s="22" t="b">
        <v>0</v>
      </c>
      <c r="P85" s="23" t="b">
        <v>0</v>
      </c>
    </row>
    <row r="86" hidden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1"/>
      <c r="M86" s="22" t="b">
        <v>0</v>
      </c>
      <c r="O86" s="22" t="b">
        <v>0</v>
      </c>
      <c r="P86" s="23" t="b">
        <v>0</v>
      </c>
    </row>
    <row r="87" hidden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1"/>
      <c r="M87" s="22" t="b">
        <v>0</v>
      </c>
      <c r="O87" s="22" t="b">
        <v>0</v>
      </c>
      <c r="P87" s="23" t="b">
        <v>0</v>
      </c>
    </row>
    <row r="88" hidden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1"/>
      <c r="M88" s="22" t="b">
        <v>0</v>
      </c>
      <c r="O88" s="22" t="b">
        <v>0</v>
      </c>
      <c r="P88" s="23" t="b">
        <v>0</v>
      </c>
    </row>
    <row r="89" hidden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1"/>
      <c r="M89" s="22" t="b">
        <v>0</v>
      </c>
      <c r="O89" s="22" t="b">
        <v>0</v>
      </c>
      <c r="P89" s="23" t="b">
        <v>0</v>
      </c>
    </row>
    <row r="90" hidden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1"/>
      <c r="M90" s="22" t="b">
        <v>0</v>
      </c>
      <c r="O90" s="22" t="b">
        <v>0</v>
      </c>
      <c r="P90" s="23" t="b">
        <v>0</v>
      </c>
    </row>
    <row r="91" hidden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1"/>
      <c r="M91" s="22" t="b">
        <v>0</v>
      </c>
      <c r="O91" s="22" t="b">
        <v>0</v>
      </c>
      <c r="P91" s="23" t="b">
        <v>0</v>
      </c>
    </row>
    <row r="92" hidden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1"/>
      <c r="M92" s="22" t="b">
        <v>0</v>
      </c>
      <c r="O92" s="22" t="b">
        <v>0</v>
      </c>
      <c r="P92" s="23" t="b">
        <v>0</v>
      </c>
    </row>
    <row r="93" hidden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1"/>
      <c r="M93" s="22" t="b">
        <v>0</v>
      </c>
      <c r="O93" s="22" t="b">
        <v>0</v>
      </c>
      <c r="P93" s="23" t="b">
        <v>0</v>
      </c>
    </row>
    <row r="94" hidden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1"/>
      <c r="M94" s="22" t="b">
        <v>0</v>
      </c>
      <c r="O94" s="22" t="b">
        <v>0</v>
      </c>
      <c r="P94" s="23" t="b">
        <v>0</v>
      </c>
    </row>
    <row r="95" hidden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1"/>
      <c r="M95" s="22" t="b">
        <v>0</v>
      </c>
      <c r="O95" s="22" t="b">
        <v>0</v>
      </c>
      <c r="P95" s="23" t="b">
        <v>0</v>
      </c>
    </row>
    <row r="96" hidden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1"/>
      <c r="M96" s="22" t="b">
        <v>0</v>
      </c>
      <c r="O96" s="22" t="b">
        <v>0</v>
      </c>
      <c r="P96" s="23" t="b">
        <v>0</v>
      </c>
    </row>
    <row r="97" hidden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1"/>
      <c r="M97" s="22" t="b">
        <v>0</v>
      </c>
      <c r="O97" s="22" t="b">
        <v>0</v>
      </c>
      <c r="P97" s="23" t="b">
        <v>0</v>
      </c>
    </row>
    <row r="98" hidden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1"/>
      <c r="M98" s="22" t="b">
        <v>0</v>
      </c>
      <c r="O98" s="22" t="b">
        <v>0</v>
      </c>
      <c r="P98" s="23" t="b">
        <v>0</v>
      </c>
    </row>
    <row r="99" hidden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1"/>
      <c r="M99" s="22" t="b">
        <v>0</v>
      </c>
      <c r="O99" s="22" t="b">
        <v>0</v>
      </c>
      <c r="P99" s="23" t="b">
        <v>0</v>
      </c>
    </row>
    <row r="100" hidden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1"/>
      <c r="M100" s="22" t="b">
        <v>0</v>
      </c>
      <c r="O100" s="22" t="b">
        <v>0</v>
      </c>
      <c r="P100" s="23" t="b">
        <v>0</v>
      </c>
    </row>
    <row r="101" hidden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1"/>
      <c r="M101" s="22" t="b">
        <v>0</v>
      </c>
      <c r="O101" s="22" t="b">
        <v>0</v>
      </c>
      <c r="P101" s="23" t="b">
        <v>0</v>
      </c>
    </row>
    <row r="102" hidden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1"/>
      <c r="M102" s="22" t="b">
        <v>0</v>
      </c>
      <c r="O102" s="22" t="b">
        <v>0</v>
      </c>
      <c r="P102" s="23" t="b">
        <v>0</v>
      </c>
    </row>
    <row r="103" hidden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1"/>
      <c r="M103" s="22" t="b">
        <v>0</v>
      </c>
      <c r="O103" s="22" t="b">
        <v>0</v>
      </c>
      <c r="P103" s="23" t="b">
        <v>0</v>
      </c>
    </row>
    <row r="104" hidden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1"/>
      <c r="M104" s="22" t="b">
        <v>0</v>
      </c>
      <c r="O104" s="22" t="b">
        <v>0</v>
      </c>
      <c r="P104" s="23" t="b">
        <v>0</v>
      </c>
    </row>
    <row r="105" hidden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1"/>
      <c r="M105" s="22" t="b">
        <v>0</v>
      </c>
      <c r="O105" s="22" t="b">
        <v>0</v>
      </c>
      <c r="P105" s="23" t="b">
        <v>0</v>
      </c>
    </row>
    <row r="106" hidden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1"/>
      <c r="M106" s="22" t="b">
        <v>0</v>
      </c>
      <c r="O106" s="22" t="b">
        <v>0</v>
      </c>
      <c r="P106" s="23" t="b">
        <v>0</v>
      </c>
    </row>
    <row r="107" hidden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1"/>
      <c r="M107" s="22" t="b">
        <v>0</v>
      </c>
      <c r="O107" s="22" t="b">
        <v>0</v>
      </c>
      <c r="P107" s="23" t="b">
        <v>0</v>
      </c>
    </row>
    <row r="108" hidden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1"/>
      <c r="M108" s="22" t="b">
        <v>0</v>
      </c>
      <c r="O108" s="22" t="b">
        <v>0</v>
      </c>
      <c r="P108" s="23" t="b">
        <v>0</v>
      </c>
    </row>
    <row r="109" hidden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1"/>
      <c r="M109" s="22" t="b">
        <v>0</v>
      </c>
      <c r="O109" s="22" t="b">
        <v>0</v>
      </c>
      <c r="P109" s="23" t="b">
        <v>0</v>
      </c>
    </row>
    <row r="110" hidden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1"/>
      <c r="M110" s="22" t="b">
        <v>0</v>
      </c>
      <c r="O110" s="22" t="b">
        <v>0</v>
      </c>
      <c r="P110" s="23" t="b">
        <v>0</v>
      </c>
    </row>
    <row r="111" hidden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1"/>
      <c r="M111" s="22" t="b">
        <v>0</v>
      </c>
      <c r="O111" s="22" t="b">
        <v>0</v>
      </c>
      <c r="P111" s="23" t="b">
        <v>0</v>
      </c>
    </row>
    <row r="112" hidden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1"/>
      <c r="M112" s="22" t="b">
        <v>0</v>
      </c>
      <c r="O112" s="22" t="b">
        <v>0</v>
      </c>
      <c r="P112" s="23" t="b">
        <v>0</v>
      </c>
    </row>
    <row r="113" hidden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1"/>
      <c r="M113" s="22" t="b">
        <v>0</v>
      </c>
      <c r="O113" s="22" t="b">
        <v>0</v>
      </c>
      <c r="P113" s="23" t="b">
        <v>0</v>
      </c>
    </row>
    <row r="114" hidden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1"/>
      <c r="M114" s="22" t="b">
        <v>0</v>
      </c>
      <c r="O114" s="22" t="b">
        <v>0</v>
      </c>
      <c r="P114" s="23" t="b">
        <v>0</v>
      </c>
    </row>
    <row r="115" hidden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1"/>
      <c r="M115" s="22" t="b">
        <v>0</v>
      </c>
      <c r="O115" s="22" t="b">
        <v>0</v>
      </c>
      <c r="P115" s="23" t="b">
        <v>0</v>
      </c>
    </row>
    <row r="116" hidden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1"/>
      <c r="M116" s="22" t="b">
        <v>0</v>
      </c>
      <c r="O116" s="22" t="b">
        <v>0</v>
      </c>
      <c r="P116" s="23" t="b">
        <v>0</v>
      </c>
    </row>
    <row r="117" hidden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1"/>
      <c r="M117" s="22" t="b">
        <v>0</v>
      </c>
      <c r="O117" s="22" t="b">
        <v>0</v>
      </c>
      <c r="P117" s="23" t="b">
        <v>0</v>
      </c>
    </row>
    <row r="118" hidden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1"/>
      <c r="M118" s="22" t="b">
        <v>0</v>
      </c>
      <c r="O118" s="22" t="b">
        <v>0</v>
      </c>
      <c r="P118" s="23" t="b">
        <v>0</v>
      </c>
    </row>
    <row r="119" hidden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1"/>
      <c r="M119" s="22" t="b">
        <v>0</v>
      </c>
      <c r="O119" s="22" t="b">
        <v>0</v>
      </c>
      <c r="P119" s="23" t="b">
        <v>0</v>
      </c>
    </row>
    <row r="120" hidden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1"/>
      <c r="M120" s="22" t="b">
        <v>0</v>
      </c>
      <c r="O120" s="22" t="b">
        <v>0</v>
      </c>
      <c r="P120" s="23" t="b">
        <v>0</v>
      </c>
    </row>
    <row r="121" hidden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1"/>
      <c r="M121" s="22" t="b">
        <v>0</v>
      </c>
      <c r="O121" s="22" t="b">
        <v>0</v>
      </c>
      <c r="P121" s="23" t="b">
        <v>0</v>
      </c>
    </row>
    <row r="122" hidden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1"/>
      <c r="M122" s="22" t="b">
        <v>0</v>
      </c>
      <c r="O122" s="22" t="b">
        <v>0</v>
      </c>
      <c r="P122" s="23" t="b">
        <v>0</v>
      </c>
    </row>
    <row r="123" hidden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1"/>
      <c r="M123" s="22" t="b">
        <v>0</v>
      </c>
      <c r="O123" s="22" t="b">
        <v>0</v>
      </c>
      <c r="P123" s="23" t="b">
        <v>0</v>
      </c>
    </row>
    <row r="124" hidden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1"/>
      <c r="M124" s="22" t="b">
        <v>0</v>
      </c>
      <c r="O124" s="22" t="b">
        <v>0</v>
      </c>
      <c r="P124" s="23" t="b">
        <v>0</v>
      </c>
    </row>
    <row r="125" hidden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1"/>
      <c r="M125" s="22" t="b">
        <v>0</v>
      </c>
      <c r="O125" s="22" t="b">
        <v>0</v>
      </c>
      <c r="P125" s="23" t="b">
        <v>0</v>
      </c>
    </row>
    <row r="126" hidden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1"/>
      <c r="M126" s="22" t="b">
        <v>0</v>
      </c>
      <c r="O126" s="22" t="b">
        <v>0</v>
      </c>
      <c r="P126" s="23" t="b">
        <v>0</v>
      </c>
    </row>
    <row r="127" hidden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1"/>
      <c r="M127" s="22" t="b">
        <v>0</v>
      </c>
      <c r="O127" s="22" t="b">
        <v>0</v>
      </c>
      <c r="P127" s="23" t="b">
        <v>0</v>
      </c>
    </row>
    <row r="128" hidden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1"/>
      <c r="M128" s="22" t="b">
        <v>0</v>
      </c>
      <c r="O128" s="22" t="b">
        <v>0</v>
      </c>
      <c r="P128" s="23" t="b">
        <v>0</v>
      </c>
    </row>
    <row r="129" hidden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1"/>
      <c r="M129" s="22" t="b">
        <v>0</v>
      </c>
      <c r="O129" s="22" t="b">
        <v>0</v>
      </c>
      <c r="P129" s="23" t="b">
        <v>0</v>
      </c>
    </row>
    <row r="130" hidden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1"/>
      <c r="M130" s="22" t="b">
        <v>0</v>
      </c>
      <c r="O130" s="22" t="b">
        <v>0</v>
      </c>
      <c r="P130" s="23" t="b">
        <v>0</v>
      </c>
    </row>
    <row r="131" hidden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1"/>
      <c r="M131" s="22" t="b">
        <v>0</v>
      </c>
      <c r="O131" s="22" t="b">
        <v>0</v>
      </c>
      <c r="P131" s="23" t="b">
        <v>0</v>
      </c>
    </row>
    <row r="132" hidden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1"/>
      <c r="M132" s="22" t="b">
        <v>0</v>
      </c>
      <c r="O132" s="22" t="b">
        <v>0</v>
      </c>
      <c r="P132" s="23" t="b">
        <v>0</v>
      </c>
    </row>
    <row r="133" hidden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1"/>
      <c r="M133" s="22" t="b">
        <v>0</v>
      </c>
      <c r="O133" s="22" t="b">
        <v>0</v>
      </c>
      <c r="P133" s="23" t="b">
        <v>0</v>
      </c>
    </row>
    <row r="134" hidden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1"/>
      <c r="M134" s="22" t="b">
        <v>0</v>
      </c>
      <c r="O134" s="22" t="b">
        <v>0</v>
      </c>
      <c r="P134" s="23" t="b">
        <v>0</v>
      </c>
    </row>
    <row r="135" hidden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1"/>
      <c r="M135" s="22" t="b">
        <v>0</v>
      </c>
      <c r="O135" s="22" t="b">
        <v>0</v>
      </c>
      <c r="P135" s="23" t="b">
        <v>0</v>
      </c>
    </row>
    <row r="136" hidden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1"/>
      <c r="M136" s="22" t="b">
        <v>0</v>
      </c>
      <c r="O136" s="22" t="b">
        <v>0</v>
      </c>
      <c r="P136" s="23" t="b">
        <v>0</v>
      </c>
    </row>
    <row r="137" hidden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1"/>
      <c r="M137" s="22" t="b">
        <v>0</v>
      </c>
      <c r="O137" s="22" t="b">
        <v>0</v>
      </c>
      <c r="P137" s="23" t="b">
        <v>0</v>
      </c>
    </row>
    <row r="138" hidden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1"/>
      <c r="M138" s="22" t="b">
        <v>0</v>
      </c>
      <c r="O138" s="22" t="b">
        <v>0</v>
      </c>
      <c r="P138" s="23" t="b">
        <v>0</v>
      </c>
    </row>
    <row r="139" hidden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1"/>
      <c r="M139" s="22" t="b">
        <v>0</v>
      </c>
      <c r="O139" s="22" t="b">
        <v>0</v>
      </c>
      <c r="P139" s="23" t="b">
        <v>0</v>
      </c>
    </row>
    <row r="140" hidden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1"/>
      <c r="M140" s="22" t="b">
        <v>0</v>
      </c>
      <c r="O140" s="22" t="b">
        <v>0</v>
      </c>
      <c r="P140" s="23" t="b">
        <v>0</v>
      </c>
    </row>
    <row r="141" hidden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1"/>
      <c r="M141" s="22" t="b">
        <v>0</v>
      </c>
      <c r="O141" s="22" t="b">
        <v>0</v>
      </c>
      <c r="P141" s="23" t="b">
        <v>0</v>
      </c>
    </row>
    <row r="142" hidden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1"/>
      <c r="M142" s="22" t="b">
        <v>0</v>
      </c>
      <c r="O142" s="22" t="b">
        <v>0</v>
      </c>
      <c r="P142" s="23" t="b">
        <v>0</v>
      </c>
    </row>
    <row r="143" hidden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1"/>
      <c r="M143" s="22" t="b">
        <v>0</v>
      </c>
      <c r="O143" s="22" t="b">
        <v>0</v>
      </c>
      <c r="P143" s="23" t="b">
        <v>0</v>
      </c>
    </row>
    <row r="144" hidden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1"/>
      <c r="M144" s="22" t="b">
        <v>0</v>
      </c>
      <c r="O144" s="22" t="b">
        <v>0</v>
      </c>
      <c r="P144" s="23" t="b">
        <v>0</v>
      </c>
    </row>
    <row r="145" hidden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1"/>
      <c r="M145" s="22" t="b">
        <v>0</v>
      </c>
      <c r="O145" s="22" t="b">
        <v>0</v>
      </c>
      <c r="P145" s="23" t="b">
        <v>0</v>
      </c>
    </row>
    <row r="146" hidden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1"/>
      <c r="M146" s="22" t="b">
        <v>0</v>
      </c>
      <c r="O146" s="22" t="b">
        <v>0</v>
      </c>
      <c r="P146" s="23" t="b">
        <v>0</v>
      </c>
    </row>
    <row r="147" hidden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1"/>
      <c r="M147" s="22" t="b">
        <v>0</v>
      </c>
      <c r="O147" s="22" t="b">
        <v>0</v>
      </c>
      <c r="P147" s="23" t="b">
        <v>0</v>
      </c>
    </row>
    <row r="148" hidden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1"/>
      <c r="M148" s="22" t="b">
        <v>0</v>
      </c>
      <c r="O148" s="22" t="b">
        <v>0</v>
      </c>
      <c r="P148" s="23" t="b">
        <v>0</v>
      </c>
    </row>
    <row r="149" hidden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1"/>
      <c r="M149" s="22" t="b">
        <v>0</v>
      </c>
      <c r="O149" s="22" t="b">
        <v>0</v>
      </c>
      <c r="P149" s="23" t="b">
        <v>0</v>
      </c>
    </row>
    <row r="150" hidden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1"/>
      <c r="M150" s="22" t="b">
        <v>0</v>
      </c>
      <c r="O150" s="22" t="b">
        <v>0</v>
      </c>
      <c r="P150" s="23" t="b">
        <v>0</v>
      </c>
    </row>
    <row r="151" hidden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1"/>
      <c r="M151" s="22" t="b">
        <v>0</v>
      </c>
      <c r="O151" s="22" t="b">
        <v>0</v>
      </c>
      <c r="P151" s="23" t="b">
        <v>0</v>
      </c>
    </row>
    <row r="152" hidden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1"/>
      <c r="M152" s="22" t="b">
        <v>0</v>
      </c>
      <c r="O152" s="22" t="b">
        <v>0</v>
      </c>
      <c r="P152" s="23" t="b">
        <v>0</v>
      </c>
    </row>
    <row r="153" hidden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1"/>
      <c r="M153" s="22" t="b">
        <v>0</v>
      </c>
      <c r="O153" s="22" t="b">
        <v>0</v>
      </c>
      <c r="P153" s="23" t="b">
        <v>0</v>
      </c>
    </row>
    <row r="154" hidden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1"/>
      <c r="M154" s="22" t="b">
        <v>0</v>
      </c>
      <c r="O154" s="22" t="b">
        <v>0</v>
      </c>
      <c r="P154" s="23" t="b">
        <v>0</v>
      </c>
    </row>
    <row r="155" hidden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1"/>
      <c r="M155" s="22" t="b">
        <v>0</v>
      </c>
      <c r="O155" s="22" t="b">
        <v>0</v>
      </c>
      <c r="P155" s="23" t="b">
        <v>0</v>
      </c>
    </row>
    <row r="156" hidden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1"/>
      <c r="M156" s="22" t="b">
        <v>0</v>
      </c>
      <c r="O156" s="22" t="b">
        <v>0</v>
      </c>
      <c r="P156" s="23" t="b">
        <v>0</v>
      </c>
    </row>
    <row r="157" hidden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1"/>
      <c r="M157" s="22" t="b">
        <v>0</v>
      </c>
      <c r="O157" s="22" t="b">
        <v>0</v>
      </c>
      <c r="P157" s="23" t="b">
        <v>0</v>
      </c>
    </row>
    <row r="158" hidden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1"/>
      <c r="M158" s="22" t="b">
        <v>0</v>
      </c>
      <c r="O158" s="22" t="b">
        <v>0</v>
      </c>
      <c r="P158" s="23" t="b">
        <v>0</v>
      </c>
    </row>
    <row r="159" hidden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1"/>
      <c r="M159" s="22" t="b">
        <v>0</v>
      </c>
      <c r="O159" s="22" t="b">
        <v>0</v>
      </c>
      <c r="P159" s="23" t="b">
        <v>0</v>
      </c>
    </row>
    <row r="160" hidden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1"/>
      <c r="M160" s="22" t="b">
        <v>0</v>
      </c>
      <c r="O160" s="22" t="b">
        <v>0</v>
      </c>
      <c r="P160" s="23" t="b">
        <v>0</v>
      </c>
    </row>
    <row r="161" hidden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1"/>
      <c r="M161" s="22" t="b">
        <v>0</v>
      </c>
      <c r="O161" s="22" t="b">
        <v>0</v>
      </c>
      <c r="P161" s="23" t="b">
        <v>0</v>
      </c>
    </row>
    <row r="162" hidden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1"/>
      <c r="M162" s="22" t="b">
        <v>0</v>
      </c>
      <c r="O162" s="22" t="b">
        <v>0</v>
      </c>
      <c r="P162" s="23" t="b">
        <v>0</v>
      </c>
    </row>
    <row r="163" hidden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1"/>
      <c r="M163" s="22" t="b">
        <v>0</v>
      </c>
      <c r="O163" s="22" t="b">
        <v>0</v>
      </c>
      <c r="P163" s="23" t="b">
        <v>0</v>
      </c>
    </row>
    <row r="164" hidden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1"/>
      <c r="M164" s="22" t="b">
        <v>0</v>
      </c>
      <c r="O164" s="22" t="b">
        <v>0</v>
      </c>
      <c r="P164" s="23" t="b">
        <v>0</v>
      </c>
    </row>
    <row r="165" hidden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1"/>
      <c r="M165" s="22" t="b">
        <v>0</v>
      </c>
      <c r="O165" s="22" t="b">
        <v>0</v>
      </c>
      <c r="P165" s="23" t="b">
        <v>0</v>
      </c>
    </row>
    <row r="166" hidden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1"/>
      <c r="M166" s="22" t="b">
        <v>0</v>
      </c>
      <c r="O166" s="22" t="b">
        <v>0</v>
      </c>
      <c r="P166" s="23" t="b">
        <v>0</v>
      </c>
    </row>
    <row r="167" hidden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1"/>
      <c r="M167" s="22" t="b">
        <v>0</v>
      </c>
      <c r="O167" s="22" t="b">
        <v>0</v>
      </c>
      <c r="P167" s="23" t="b">
        <v>0</v>
      </c>
    </row>
    <row r="168" hidden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1"/>
      <c r="M168" s="22" t="b">
        <v>0</v>
      </c>
      <c r="O168" s="22" t="b">
        <v>0</v>
      </c>
      <c r="P168" s="23" t="b">
        <v>0</v>
      </c>
    </row>
    <row r="169" hidden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1"/>
      <c r="M169" s="22" t="b">
        <v>0</v>
      </c>
      <c r="O169" s="22" t="b">
        <v>0</v>
      </c>
      <c r="P169" s="23" t="b">
        <v>0</v>
      </c>
    </row>
    <row r="170" hidden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1"/>
      <c r="M170" s="22" t="b">
        <v>0</v>
      </c>
      <c r="O170" s="22" t="b">
        <v>0</v>
      </c>
      <c r="P170" s="23" t="b">
        <v>0</v>
      </c>
    </row>
    <row r="171" hidden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1"/>
      <c r="M171" s="22" t="b">
        <v>0</v>
      </c>
      <c r="O171" s="22" t="b">
        <v>0</v>
      </c>
      <c r="P171" s="23" t="b">
        <v>0</v>
      </c>
    </row>
    <row r="172" hidden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1"/>
      <c r="M172" s="22" t="b">
        <v>0</v>
      </c>
      <c r="O172" s="22" t="b">
        <v>0</v>
      </c>
      <c r="P172" s="23" t="b">
        <v>0</v>
      </c>
    </row>
    <row r="173" hidden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1"/>
      <c r="M173" s="22" t="b">
        <v>0</v>
      </c>
      <c r="O173" s="22" t="b">
        <v>0</v>
      </c>
      <c r="P173" s="23" t="b">
        <v>0</v>
      </c>
    </row>
    <row r="174" hidden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1"/>
      <c r="M174" s="22" t="b">
        <v>0</v>
      </c>
      <c r="O174" s="22" t="b">
        <v>0</v>
      </c>
      <c r="P174" s="23" t="b">
        <v>0</v>
      </c>
    </row>
    <row r="175" hidden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1"/>
      <c r="M175" s="22" t="b">
        <v>0</v>
      </c>
      <c r="O175" s="22" t="b">
        <v>0</v>
      </c>
      <c r="P175" s="23" t="b">
        <v>0</v>
      </c>
    </row>
    <row r="176" hidden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1"/>
      <c r="M176" s="22" t="b">
        <v>0</v>
      </c>
      <c r="O176" s="22" t="b">
        <v>0</v>
      </c>
      <c r="P176" s="23" t="b">
        <v>0</v>
      </c>
    </row>
    <row r="177" hidden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1"/>
      <c r="M177" s="22" t="b">
        <v>0</v>
      </c>
      <c r="O177" s="22" t="b">
        <v>0</v>
      </c>
      <c r="P177" s="23" t="b">
        <v>0</v>
      </c>
    </row>
    <row r="178" hidden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1"/>
      <c r="M178" s="22" t="b">
        <v>0</v>
      </c>
      <c r="O178" s="22" t="b">
        <v>0</v>
      </c>
      <c r="P178" s="23" t="b">
        <v>0</v>
      </c>
    </row>
    <row r="179" hidden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1"/>
      <c r="M179" s="22" t="b">
        <v>0</v>
      </c>
      <c r="O179" s="22" t="b">
        <v>0</v>
      </c>
      <c r="P179" s="23" t="b">
        <v>0</v>
      </c>
    </row>
    <row r="180" hidden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1"/>
      <c r="M180" s="22" t="b">
        <v>0</v>
      </c>
      <c r="O180" s="22" t="b">
        <v>0</v>
      </c>
      <c r="P180" s="23" t="b">
        <v>0</v>
      </c>
    </row>
    <row r="181" hidden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1"/>
      <c r="M181" s="22" t="b">
        <v>0</v>
      </c>
      <c r="O181" s="22" t="b">
        <v>0</v>
      </c>
      <c r="P181" s="23" t="b">
        <v>0</v>
      </c>
    </row>
    <row r="182" hidden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1"/>
      <c r="M182" s="22" t="b">
        <v>0</v>
      </c>
      <c r="O182" s="22" t="b">
        <v>0</v>
      </c>
      <c r="P182" s="23" t="b">
        <v>0</v>
      </c>
    </row>
    <row r="183" hidden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1"/>
      <c r="M183" s="22" t="b">
        <v>0</v>
      </c>
      <c r="O183" s="22" t="b">
        <v>0</v>
      </c>
      <c r="P183" s="23" t="b">
        <v>0</v>
      </c>
    </row>
    <row r="184" hidden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1"/>
      <c r="M184" s="22" t="b">
        <v>0</v>
      </c>
      <c r="O184" s="22" t="b">
        <v>0</v>
      </c>
      <c r="P184" s="23" t="b">
        <v>0</v>
      </c>
    </row>
    <row r="185" hidden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1"/>
      <c r="M185" s="22" t="b">
        <v>0</v>
      </c>
      <c r="O185" s="22" t="b">
        <v>0</v>
      </c>
      <c r="P185" s="23" t="b">
        <v>0</v>
      </c>
    </row>
    <row r="186" hidden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1"/>
      <c r="M186" s="22" t="b">
        <v>0</v>
      </c>
      <c r="O186" s="22" t="b">
        <v>0</v>
      </c>
      <c r="P186" s="23" t="b">
        <v>0</v>
      </c>
    </row>
    <row r="187" hidden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1"/>
      <c r="M187" s="22" t="b">
        <v>0</v>
      </c>
      <c r="O187" s="22" t="b">
        <v>0</v>
      </c>
      <c r="P187" s="23" t="b">
        <v>0</v>
      </c>
    </row>
    <row r="188" hidden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1"/>
      <c r="M188" s="22" t="b">
        <v>0</v>
      </c>
      <c r="O188" s="22" t="b">
        <v>0</v>
      </c>
      <c r="P188" s="23" t="b">
        <v>0</v>
      </c>
    </row>
    <row r="189" hidden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1"/>
      <c r="M189" s="22" t="b">
        <v>0</v>
      </c>
      <c r="O189" s="22" t="b">
        <v>0</v>
      </c>
      <c r="P189" s="23" t="b">
        <v>0</v>
      </c>
    </row>
    <row r="190" hidden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1"/>
      <c r="M190" s="22" t="b">
        <v>0</v>
      </c>
      <c r="O190" s="22" t="b">
        <v>0</v>
      </c>
      <c r="P190" s="23" t="b">
        <v>0</v>
      </c>
    </row>
    <row r="191" hidden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1"/>
      <c r="M191" s="22" t="b">
        <v>0</v>
      </c>
      <c r="O191" s="22" t="b">
        <v>0</v>
      </c>
      <c r="P191" s="23" t="b">
        <v>0</v>
      </c>
    </row>
    <row r="192" hidden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1"/>
      <c r="M192" s="22" t="b">
        <v>0</v>
      </c>
      <c r="O192" s="22" t="b">
        <v>0</v>
      </c>
      <c r="P192" s="23" t="b">
        <v>0</v>
      </c>
    </row>
    <row r="193" hidden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1"/>
      <c r="M193" s="22" t="b">
        <v>0</v>
      </c>
      <c r="O193" s="22" t="b">
        <v>0</v>
      </c>
      <c r="P193" s="23" t="b">
        <v>0</v>
      </c>
    </row>
    <row r="194" hidden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1"/>
      <c r="M194" s="22" t="b">
        <v>0</v>
      </c>
      <c r="O194" s="22" t="b">
        <v>0</v>
      </c>
      <c r="P194" s="23" t="b">
        <v>0</v>
      </c>
    </row>
    <row r="195" hidden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1"/>
      <c r="M195" s="22" t="b">
        <v>0</v>
      </c>
      <c r="O195" s="22" t="b">
        <v>0</v>
      </c>
      <c r="P195" s="23" t="b">
        <v>0</v>
      </c>
    </row>
    <row r="196" hidden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1"/>
      <c r="M196" s="22" t="b">
        <v>0</v>
      </c>
      <c r="O196" s="22" t="b">
        <v>0</v>
      </c>
      <c r="P196" s="23" t="b">
        <v>0</v>
      </c>
    </row>
    <row r="197" hidden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1"/>
      <c r="M197" s="22" t="b">
        <v>0</v>
      </c>
      <c r="O197" s="22" t="b">
        <v>0</v>
      </c>
      <c r="P197" s="23" t="b">
        <v>0</v>
      </c>
    </row>
    <row r="198" hidden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1"/>
      <c r="M198" s="22" t="b">
        <v>0</v>
      </c>
      <c r="O198" s="22" t="b">
        <v>0</v>
      </c>
      <c r="P198" s="23" t="b">
        <v>0</v>
      </c>
    </row>
    <row r="199" hidden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1"/>
      <c r="M199" s="22" t="b">
        <v>0</v>
      </c>
      <c r="O199" s="22" t="b">
        <v>0</v>
      </c>
      <c r="P199" s="23" t="b">
        <v>0</v>
      </c>
    </row>
    <row r="200" hidden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1"/>
      <c r="M200" s="22" t="b">
        <v>0</v>
      </c>
      <c r="O200" s="22" t="b">
        <v>0</v>
      </c>
      <c r="P200" s="23" t="b">
        <v>0</v>
      </c>
    </row>
    <row r="201" hidden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1"/>
      <c r="M201" s="22" t="b">
        <v>0</v>
      </c>
      <c r="O201" s="22" t="b">
        <v>0</v>
      </c>
      <c r="P201" s="23" t="b">
        <v>0</v>
      </c>
    </row>
    <row r="202" hidden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1"/>
      <c r="M202" s="22" t="b">
        <v>0</v>
      </c>
      <c r="O202" s="22" t="b">
        <v>0</v>
      </c>
      <c r="P202" s="23" t="b">
        <v>0</v>
      </c>
    </row>
    <row r="203" hidden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1"/>
      <c r="M203" s="22" t="b">
        <v>0</v>
      </c>
      <c r="O203" s="22" t="b">
        <v>0</v>
      </c>
      <c r="P203" s="23" t="b">
        <v>0</v>
      </c>
    </row>
    <row r="204" hidden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1"/>
      <c r="M204" s="22" t="b">
        <v>0</v>
      </c>
      <c r="O204" s="22" t="b">
        <v>0</v>
      </c>
      <c r="P204" s="23" t="b">
        <v>0</v>
      </c>
    </row>
    <row r="205" hidden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1"/>
      <c r="M205" s="22" t="b">
        <v>0</v>
      </c>
      <c r="O205" s="22" t="b">
        <v>0</v>
      </c>
      <c r="P205" s="23" t="b">
        <v>0</v>
      </c>
    </row>
    <row r="206" hidden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1"/>
      <c r="M206" s="22" t="b">
        <v>0</v>
      </c>
      <c r="O206" s="22" t="b">
        <v>0</v>
      </c>
      <c r="P206" s="23" t="b">
        <v>0</v>
      </c>
    </row>
    <row r="207" hidden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1"/>
      <c r="M207" s="22" t="b">
        <v>0</v>
      </c>
      <c r="O207" s="22" t="b">
        <v>0</v>
      </c>
      <c r="P207" s="23" t="b">
        <v>0</v>
      </c>
    </row>
    <row r="208" hidden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1"/>
      <c r="M208" s="22" t="b">
        <v>0</v>
      </c>
      <c r="O208" s="22" t="b">
        <v>0</v>
      </c>
      <c r="P208" s="23" t="b">
        <v>0</v>
      </c>
    </row>
    <row r="209" hidden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1"/>
      <c r="M209" s="22" t="b">
        <v>0</v>
      </c>
      <c r="O209" s="22" t="b">
        <v>0</v>
      </c>
      <c r="P209" s="23" t="b">
        <v>0</v>
      </c>
    </row>
    <row r="210" hidden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1"/>
      <c r="M210" s="22" t="b">
        <v>0</v>
      </c>
      <c r="O210" s="22" t="b">
        <v>0</v>
      </c>
      <c r="P210" s="23" t="b">
        <v>0</v>
      </c>
    </row>
    <row r="211" hidden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1"/>
      <c r="M211" s="22" t="b">
        <v>0</v>
      </c>
      <c r="O211" s="22" t="b">
        <v>0</v>
      </c>
      <c r="P211" s="23" t="b">
        <v>0</v>
      </c>
    </row>
    <row r="212" hidden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1"/>
      <c r="M212" s="22" t="b">
        <v>0</v>
      </c>
      <c r="O212" s="22" t="b">
        <v>0</v>
      </c>
      <c r="P212" s="23" t="b">
        <v>0</v>
      </c>
    </row>
    <row r="213" hidden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1"/>
      <c r="M213" s="22" t="b">
        <v>0</v>
      </c>
      <c r="O213" s="22" t="b">
        <v>0</v>
      </c>
      <c r="P213" s="23" t="b">
        <v>0</v>
      </c>
    </row>
    <row r="214" hidden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1"/>
      <c r="M214" s="22" t="b">
        <v>0</v>
      </c>
      <c r="O214" s="22" t="b">
        <v>0</v>
      </c>
      <c r="P214" s="23" t="b">
        <v>0</v>
      </c>
    </row>
    <row r="215" hidden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1"/>
      <c r="M215" s="22" t="b">
        <v>0</v>
      </c>
      <c r="O215" s="22" t="b">
        <v>0</v>
      </c>
      <c r="P215" s="23" t="b">
        <v>0</v>
      </c>
    </row>
    <row r="216" hidden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1"/>
      <c r="M216" s="22" t="b">
        <v>0</v>
      </c>
      <c r="O216" s="22" t="b">
        <v>0</v>
      </c>
      <c r="P216" s="23" t="b">
        <v>0</v>
      </c>
    </row>
    <row r="217" hidden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1"/>
      <c r="M217" s="22" t="b">
        <v>0</v>
      </c>
      <c r="O217" s="22" t="b">
        <v>0</v>
      </c>
      <c r="P217" s="23" t="b">
        <v>0</v>
      </c>
    </row>
    <row r="218" hidden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1"/>
      <c r="M218" s="22" t="b">
        <v>0</v>
      </c>
      <c r="O218" s="22" t="b">
        <v>0</v>
      </c>
      <c r="P218" s="23" t="b">
        <v>0</v>
      </c>
    </row>
    <row r="219" hidden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1"/>
      <c r="M219" s="22" t="b">
        <v>0</v>
      </c>
      <c r="O219" s="22" t="b">
        <v>0</v>
      </c>
      <c r="P219" s="23" t="b">
        <v>0</v>
      </c>
    </row>
    <row r="220" hidden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1"/>
      <c r="M220" s="22" t="b">
        <v>0</v>
      </c>
      <c r="O220" s="22" t="b">
        <v>0</v>
      </c>
      <c r="P220" s="23" t="b">
        <v>0</v>
      </c>
    </row>
    <row r="221" hidden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1"/>
      <c r="M221" s="22" t="b">
        <v>0</v>
      </c>
      <c r="O221" s="22" t="b">
        <v>0</v>
      </c>
      <c r="P221" s="23" t="b">
        <v>0</v>
      </c>
    </row>
    <row r="222" hidden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1"/>
      <c r="M222" s="22" t="b">
        <v>0</v>
      </c>
      <c r="O222" s="22" t="b">
        <v>0</v>
      </c>
      <c r="P222" s="23" t="b">
        <v>0</v>
      </c>
    </row>
    <row r="223" hidden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1"/>
      <c r="M223" s="22" t="b">
        <v>0</v>
      </c>
      <c r="O223" s="22" t="b">
        <v>0</v>
      </c>
      <c r="P223" s="23" t="b">
        <v>0</v>
      </c>
    </row>
    <row r="224" hidden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1"/>
      <c r="M224" s="22" t="b">
        <v>0</v>
      </c>
      <c r="O224" s="22" t="b">
        <v>0</v>
      </c>
      <c r="P224" s="23" t="b">
        <v>0</v>
      </c>
    </row>
    <row r="225" hidden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1"/>
      <c r="M225" s="22" t="b">
        <v>0</v>
      </c>
      <c r="O225" s="22" t="b">
        <v>0</v>
      </c>
      <c r="P225" s="23" t="b">
        <v>0</v>
      </c>
    </row>
    <row r="226" hidden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1"/>
      <c r="M226" s="22" t="b">
        <v>0</v>
      </c>
      <c r="O226" s="22" t="b">
        <v>0</v>
      </c>
      <c r="P226" s="23" t="b">
        <v>0</v>
      </c>
    </row>
    <row r="227" hidden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1"/>
      <c r="M227" s="22" t="b">
        <v>0</v>
      </c>
      <c r="O227" s="22" t="b">
        <v>0</v>
      </c>
      <c r="P227" s="23" t="b">
        <v>0</v>
      </c>
    </row>
    <row r="228" hidden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1"/>
      <c r="M228" s="22" t="b">
        <v>0</v>
      </c>
      <c r="O228" s="22" t="b">
        <v>0</v>
      </c>
      <c r="P228" s="23" t="b">
        <v>0</v>
      </c>
    </row>
    <row r="229" hidden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1"/>
      <c r="M229" s="22" t="b">
        <v>0</v>
      </c>
      <c r="O229" s="22" t="b">
        <v>0</v>
      </c>
      <c r="P229" s="23" t="b">
        <v>0</v>
      </c>
    </row>
    <row r="230" hidden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1"/>
      <c r="M230" s="22" t="b">
        <v>0</v>
      </c>
      <c r="O230" s="22" t="b">
        <v>0</v>
      </c>
      <c r="P230" s="23" t="b">
        <v>0</v>
      </c>
    </row>
    <row r="231" hidden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1"/>
      <c r="M231" s="22" t="b">
        <v>0</v>
      </c>
      <c r="O231" s="22" t="b">
        <v>0</v>
      </c>
      <c r="P231" s="23" t="b">
        <v>0</v>
      </c>
    </row>
    <row r="232" hidden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1"/>
      <c r="M232" s="22" t="b">
        <v>0</v>
      </c>
      <c r="O232" s="22" t="b">
        <v>0</v>
      </c>
      <c r="P232" s="23" t="b">
        <v>0</v>
      </c>
    </row>
    <row r="233" hidden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1"/>
      <c r="M233" s="22" t="b">
        <v>0</v>
      </c>
      <c r="O233" s="22" t="b">
        <v>0</v>
      </c>
      <c r="P233" s="23" t="b">
        <v>0</v>
      </c>
    </row>
    <row r="234" hidden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1"/>
      <c r="M234" s="22" t="b">
        <v>0</v>
      </c>
      <c r="O234" s="22" t="b">
        <v>0</v>
      </c>
      <c r="P234" s="23" t="b">
        <v>0</v>
      </c>
    </row>
    <row r="235" hidden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1"/>
      <c r="M235" s="22" t="b">
        <v>0</v>
      </c>
      <c r="O235" s="22" t="b">
        <v>0</v>
      </c>
      <c r="P235" s="23" t="b">
        <v>0</v>
      </c>
    </row>
    <row r="236" hidden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1"/>
      <c r="M236" s="22" t="b">
        <v>0</v>
      </c>
      <c r="O236" s="22" t="b">
        <v>0</v>
      </c>
      <c r="P236" s="23" t="b">
        <v>0</v>
      </c>
    </row>
    <row r="237" hidden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1"/>
      <c r="M237" s="22" t="b">
        <v>0</v>
      </c>
      <c r="O237" s="22" t="b">
        <v>0</v>
      </c>
      <c r="P237" s="23" t="b">
        <v>0</v>
      </c>
    </row>
    <row r="238" hidden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1"/>
      <c r="M238" s="22" t="b">
        <v>0</v>
      </c>
      <c r="O238" s="22" t="b">
        <v>0</v>
      </c>
      <c r="P238" s="23" t="b">
        <v>0</v>
      </c>
    </row>
    <row r="239" hidden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1"/>
      <c r="M239" s="22" t="b">
        <v>0</v>
      </c>
      <c r="O239" s="22" t="b">
        <v>0</v>
      </c>
      <c r="P239" s="23" t="b">
        <v>0</v>
      </c>
    </row>
    <row r="240" hidden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1"/>
      <c r="M240" s="22" t="b">
        <v>0</v>
      </c>
      <c r="O240" s="22" t="b">
        <v>0</v>
      </c>
      <c r="P240" s="23" t="b">
        <v>0</v>
      </c>
    </row>
    <row r="241" hidden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1"/>
      <c r="M241" s="22" t="b">
        <v>0</v>
      </c>
      <c r="O241" s="22" t="b">
        <v>0</v>
      </c>
      <c r="P241" s="23" t="b">
        <v>0</v>
      </c>
    </row>
    <row r="242" hidden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1"/>
      <c r="M242" s="22" t="b">
        <v>0</v>
      </c>
      <c r="O242" s="22" t="b">
        <v>0</v>
      </c>
      <c r="P242" s="23" t="b">
        <v>0</v>
      </c>
    </row>
    <row r="243" hidden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1"/>
      <c r="M243" s="22" t="b">
        <v>0</v>
      </c>
      <c r="O243" s="22" t="b">
        <v>0</v>
      </c>
      <c r="P243" s="23" t="b">
        <v>0</v>
      </c>
    </row>
    <row r="244" hidden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1"/>
      <c r="M244" s="22" t="b">
        <v>0</v>
      </c>
      <c r="O244" s="22" t="b">
        <v>0</v>
      </c>
      <c r="P244" s="23" t="b">
        <v>0</v>
      </c>
    </row>
    <row r="245" hidden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1"/>
      <c r="M245" s="22" t="b">
        <v>0</v>
      </c>
      <c r="O245" s="22" t="b">
        <v>0</v>
      </c>
      <c r="P245" s="23" t="b">
        <v>0</v>
      </c>
    </row>
    <row r="246" hidden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1"/>
      <c r="M246" s="22" t="b">
        <v>0</v>
      </c>
      <c r="O246" s="22" t="b">
        <v>0</v>
      </c>
      <c r="P246" s="23" t="b">
        <v>0</v>
      </c>
    </row>
    <row r="247" hidden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1"/>
      <c r="M247" s="22" t="b">
        <v>0</v>
      </c>
      <c r="O247" s="22" t="b">
        <v>0</v>
      </c>
      <c r="P247" s="23" t="b">
        <v>0</v>
      </c>
    </row>
    <row r="248" hidden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1"/>
      <c r="M248" s="22" t="b">
        <v>0</v>
      </c>
      <c r="O248" s="22" t="b">
        <v>0</v>
      </c>
      <c r="P248" s="23" t="b">
        <v>0</v>
      </c>
    </row>
    <row r="249" hidden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1"/>
      <c r="M249" s="22" t="b">
        <v>0</v>
      </c>
      <c r="O249" s="22" t="b">
        <v>0</v>
      </c>
      <c r="P249" s="23" t="b">
        <v>0</v>
      </c>
    </row>
    <row r="250" hidden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1"/>
      <c r="M250" s="22" t="b">
        <v>0</v>
      </c>
      <c r="O250" s="22" t="b">
        <v>0</v>
      </c>
      <c r="P250" s="23" t="b">
        <v>0</v>
      </c>
    </row>
    <row r="251" hidden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1"/>
      <c r="M251" s="22" t="b">
        <v>0</v>
      </c>
      <c r="O251" s="22" t="b">
        <v>0</v>
      </c>
      <c r="P251" s="23" t="b">
        <v>0</v>
      </c>
    </row>
    <row r="252" hidden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1"/>
      <c r="M252" s="22" t="b">
        <v>0</v>
      </c>
      <c r="O252" s="22" t="b">
        <v>0</v>
      </c>
      <c r="P252" s="23" t="b">
        <v>0</v>
      </c>
    </row>
    <row r="253" hidden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1"/>
      <c r="M253" s="22" t="b">
        <v>0</v>
      </c>
      <c r="O253" s="22" t="b">
        <v>0</v>
      </c>
      <c r="P253" s="23" t="b">
        <v>0</v>
      </c>
    </row>
    <row r="254" hidden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1"/>
      <c r="M254" s="22" t="b">
        <v>0</v>
      </c>
      <c r="O254" s="22" t="b">
        <v>0</v>
      </c>
      <c r="P254" s="23" t="b">
        <v>0</v>
      </c>
    </row>
    <row r="255" hidden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1"/>
      <c r="M255" s="22" t="b">
        <v>0</v>
      </c>
      <c r="O255" s="22" t="b">
        <v>0</v>
      </c>
      <c r="P255" s="23" t="b">
        <v>0</v>
      </c>
    </row>
    <row r="256" hidden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1"/>
      <c r="M256" s="22" t="b">
        <v>0</v>
      </c>
      <c r="O256" s="22" t="b">
        <v>0</v>
      </c>
      <c r="P256" s="23" t="b">
        <v>0</v>
      </c>
    </row>
    <row r="257" hidden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1"/>
      <c r="M257" s="22" t="b">
        <v>0</v>
      </c>
      <c r="O257" s="22" t="b">
        <v>0</v>
      </c>
      <c r="P257" s="23" t="b">
        <v>0</v>
      </c>
    </row>
    <row r="258" hidden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1"/>
      <c r="M258" s="22" t="b">
        <v>0</v>
      </c>
      <c r="O258" s="22" t="b">
        <v>0</v>
      </c>
      <c r="P258" s="23" t="b">
        <v>0</v>
      </c>
    </row>
    <row r="259" hidden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1"/>
      <c r="M259" s="22" t="b">
        <v>0</v>
      </c>
      <c r="O259" s="22" t="b">
        <v>0</v>
      </c>
      <c r="P259" s="23" t="b">
        <v>0</v>
      </c>
    </row>
    <row r="260" hidden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1"/>
      <c r="M260" s="22" t="b">
        <v>0</v>
      </c>
      <c r="O260" s="22" t="b">
        <v>0</v>
      </c>
      <c r="P260" s="23" t="b">
        <v>0</v>
      </c>
    </row>
    <row r="261" hidden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1"/>
      <c r="M261" s="22" t="b">
        <v>0</v>
      </c>
      <c r="O261" s="22" t="b">
        <v>0</v>
      </c>
      <c r="P261" s="23" t="b">
        <v>0</v>
      </c>
    </row>
    <row r="262" hidden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1"/>
      <c r="M262" s="22" t="b">
        <v>0</v>
      </c>
      <c r="O262" s="22" t="b">
        <v>0</v>
      </c>
      <c r="P262" s="23" t="b">
        <v>0</v>
      </c>
    </row>
    <row r="263" hidden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1"/>
      <c r="M263" s="22" t="b">
        <v>0</v>
      </c>
      <c r="O263" s="22" t="b">
        <v>0</v>
      </c>
      <c r="P263" s="23" t="b">
        <v>0</v>
      </c>
    </row>
    <row r="264" hidden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1"/>
      <c r="M264" s="22" t="b">
        <v>0</v>
      </c>
      <c r="O264" s="22" t="b">
        <v>0</v>
      </c>
      <c r="P264" s="23" t="b">
        <v>0</v>
      </c>
    </row>
    <row r="265" hidden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1"/>
      <c r="M265" s="22" t="b">
        <v>0</v>
      </c>
      <c r="O265" s="22" t="b">
        <v>0</v>
      </c>
      <c r="P265" s="23" t="b">
        <v>0</v>
      </c>
    </row>
    <row r="266" hidden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1"/>
      <c r="M266" s="22" t="b">
        <v>0</v>
      </c>
      <c r="O266" s="22" t="b">
        <v>0</v>
      </c>
      <c r="P266" s="23" t="b">
        <v>0</v>
      </c>
    </row>
    <row r="267" hidden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1"/>
      <c r="M267" s="22" t="b">
        <v>0</v>
      </c>
      <c r="O267" s="22" t="b">
        <v>0</v>
      </c>
      <c r="P267" s="23" t="b">
        <v>0</v>
      </c>
    </row>
    <row r="268" hidden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1"/>
      <c r="M268" s="22" t="b">
        <v>0</v>
      </c>
      <c r="O268" s="22" t="b">
        <v>0</v>
      </c>
      <c r="P268" s="23" t="b">
        <v>0</v>
      </c>
    </row>
    <row r="269" hidden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1"/>
      <c r="M269" s="22" t="b">
        <v>0</v>
      </c>
      <c r="O269" s="22" t="b">
        <v>0</v>
      </c>
      <c r="P269" s="23" t="b">
        <v>0</v>
      </c>
    </row>
    <row r="270" hidden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1"/>
      <c r="M270" s="22" t="b">
        <v>0</v>
      </c>
      <c r="O270" s="22" t="b">
        <v>0</v>
      </c>
      <c r="P270" s="23" t="b">
        <v>0</v>
      </c>
    </row>
    <row r="271" hidden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1"/>
      <c r="M271" s="22" t="b">
        <v>0</v>
      </c>
      <c r="O271" s="22" t="b">
        <v>0</v>
      </c>
      <c r="P271" s="23" t="b">
        <v>0</v>
      </c>
    </row>
    <row r="272" hidden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1"/>
      <c r="M272" s="22" t="b">
        <v>0</v>
      </c>
      <c r="O272" s="22" t="b">
        <v>0</v>
      </c>
      <c r="P272" s="23" t="b">
        <v>0</v>
      </c>
    </row>
    <row r="273" hidden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1"/>
      <c r="M273" s="22" t="b">
        <v>0</v>
      </c>
      <c r="O273" s="22" t="b">
        <v>0</v>
      </c>
      <c r="P273" s="23" t="b">
        <v>0</v>
      </c>
    </row>
    <row r="274" hidden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1"/>
      <c r="M274" s="22" t="b">
        <v>0</v>
      </c>
      <c r="O274" s="22" t="b">
        <v>0</v>
      </c>
      <c r="P274" s="23" t="b">
        <v>0</v>
      </c>
    </row>
    <row r="275" hidden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1"/>
      <c r="M275" s="22" t="b">
        <v>0</v>
      </c>
      <c r="O275" s="22" t="b">
        <v>0</v>
      </c>
      <c r="P275" s="23" t="b">
        <v>0</v>
      </c>
    </row>
    <row r="276" hidden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1"/>
      <c r="M276" s="22" t="b">
        <v>0</v>
      </c>
      <c r="O276" s="22" t="b">
        <v>0</v>
      </c>
      <c r="P276" s="23" t="b">
        <v>0</v>
      </c>
    </row>
    <row r="277" hidden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1"/>
      <c r="M277" s="22" t="b">
        <v>0</v>
      </c>
      <c r="O277" s="22" t="b">
        <v>0</v>
      </c>
      <c r="P277" s="23" t="b">
        <v>0</v>
      </c>
    </row>
    <row r="278" hidden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1"/>
      <c r="M278" s="22" t="b">
        <v>0</v>
      </c>
      <c r="O278" s="22" t="b">
        <v>0</v>
      </c>
      <c r="P278" s="23" t="b">
        <v>0</v>
      </c>
    </row>
    <row r="279" hidden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1"/>
      <c r="M279" s="22" t="b">
        <v>0</v>
      </c>
      <c r="O279" s="22" t="b">
        <v>0</v>
      </c>
      <c r="P279" s="23" t="b">
        <v>0</v>
      </c>
    </row>
    <row r="280" hidden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1"/>
      <c r="M280" s="22" t="b">
        <v>0</v>
      </c>
      <c r="O280" s="22" t="b">
        <v>0</v>
      </c>
      <c r="P280" s="23" t="b">
        <v>0</v>
      </c>
    </row>
    <row r="281" hidden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1"/>
      <c r="M281" s="22" t="b">
        <v>0</v>
      </c>
      <c r="O281" s="22" t="b">
        <v>0</v>
      </c>
      <c r="P281" s="23" t="b">
        <v>0</v>
      </c>
    </row>
    <row r="282" hidden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1"/>
      <c r="M282" s="22" t="b">
        <v>0</v>
      </c>
      <c r="O282" s="22" t="b">
        <v>0</v>
      </c>
      <c r="P282" s="23" t="b">
        <v>0</v>
      </c>
    </row>
    <row r="283" hidden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1"/>
      <c r="M283" s="22" t="b">
        <v>0</v>
      </c>
      <c r="O283" s="22" t="b">
        <v>0</v>
      </c>
      <c r="P283" s="23" t="b">
        <v>0</v>
      </c>
    </row>
    <row r="284" hidden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1"/>
      <c r="M284" s="22" t="b">
        <v>0</v>
      </c>
      <c r="O284" s="22" t="b">
        <v>0</v>
      </c>
      <c r="P284" s="23" t="b">
        <v>0</v>
      </c>
    </row>
    <row r="285" hidden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1"/>
      <c r="M285" s="22" t="b">
        <v>0</v>
      </c>
      <c r="O285" s="22" t="b">
        <v>0</v>
      </c>
      <c r="P285" s="23" t="b">
        <v>0</v>
      </c>
    </row>
    <row r="286" hidden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1"/>
      <c r="M286" s="22" t="b">
        <v>0</v>
      </c>
      <c r="O286" s="22" t="b">
        <v>0</v>
      </c>
      <c r="P286" s="23" t="b">
        <v>0</v>
      </c>
    </row>
    <row r="287" hidden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1"/>
      <c r="M287" s="22" t="b">
        <v>0</v>
      </c>
      <c r="O287" s="22" t="b">
        <v>0</v>
      </c>
      <c r="P287" s="23" t="b">
        <v>0</v>
      </c>
    </row>
    <row r="288" hidden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1"/>
      <c r="M288" s="22" t="b">
        <v>0</v>
      </c>
      <c r="O288" s="22" t="b">
        <v>0</v>
      </c>
      <c r="P288" s="23" t="b">
        <v>0</v>
      </c>
    </row>
    <row r="289" hidden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1"/>
      <c r="M289" s="22" t="b">
        <v>0</v>
      </c>
      <c r="O289" s="22" t="b">
        <v>0</v>
      </c>
      <c r="P289" s="23" t="b">
        <v>0</v>
      </c>
    </row>
    <row r="290" hidden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1"/>
      <c r="M290" s="22" t="b">
        <v>0</v>
      </c>
      <c r="O290" s="22" t="b">
        <v>0</v>
      </c>
      <c r="P290" s="23" t="b">
        <v>0</v>
      </c>
    </row>
    <row r="291" hidden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1"/>
      <c r="M291" s="22" t="b">
        <v>0</v>
      </c>
      <c r="O291" s="22" t="b">
        <v>0</v>
      </c>
      <c r="P291" s="23" t="b">
        <v>0</v>
      </c>
    </row>
    <row r="292" hidden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1"/>
      <c r="M292" s="22" t="b">
        <v>0</v>
      </c>
      <c r="O292" s="22" t="b">
        <v>0</v>
      </c>
      <c r="P292" s="23" t="b">
        <v>0</v>
      </c>
    </row>
    <row r="293" hidden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1"/>
      <c r="M293" s="22" t="b">
        <v>0</v>
      </c>
      <c r="O293" s="22" t="b">
        <v>0</v>
      </c>
      <c r="P293" s="23" t="b">
        <v>0</v>
      </c>
    </row>
    <row r="294" hidden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1"/>
      <c r="M294" s="22" t="b">
        <v>0</v>
      </c>
      <c r="O294" s="22" t="b">
        <v>0</v>
      </c>
      <c r="P294" s="23" t="b">
        <v>0</v>
      </c>
    </row>
    <row r="295" hidden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1"/>
      <c r="M295" s="22" t="b">
        <v>0</v>
      </c>
      <c r="O295" s="22" t="b">
        <v>0</v>
      </c>
      <c r="P295" s="23" t="b">
        <v>0</v>
      </c>
    </row>
    <row r="296" hidden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1"/>
      <c r="M296" s="22" t="b">
        <v>0</v>
      </c>
      <c r="O296" s="22" t="b">
        <v>0</v>
      </c>
      <c r="P296" s="23" t="b">
        <v>0</v>
      </c>
    </row>
    <row r="297" hidden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1"/>
      <c r="M297" s="22" t="b">
        <v>0</v>
      </c>
      <c r="O297" s="22" t="b">
        <v>0</v>
      </c>
      <c r="P297" s="23" t="b">
        <v>0</v>
      </c>
    </row>
    <row r="298" hidden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1"/>
      <c r="M298" s="22" t="b">
        <v>0</v>
      </c>
      <c r="O298" s="22" t="b">
        <v>0</v>
      </c>
      <c r="P298" s="23" t="b">
        <v>0</v>
      </c>
    </row>
    <row r="299" hidden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1"/>
      <c r="M299" s="22" t="b">
        <v>0</v>
      </c>
      <c r="O299" s="22" t="b">
        <v>0</v>
      </c>
      <c r="P299" s="23" t="b">
        <v>0</v>
      </c>
    </row>
    <row r="300" hidden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1"/>
      <c r="M300" s="22" t="b">
        <v>0</v>
      </c>
      <c r="O300" s="22" t="b">
        <v>0</v>
      </c>
      <c r="P300" s="23" t="b">
        <v>0</v>
      </c>
    </row>
    <row r="301" hidden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1"/>
      <c r="M301" s="22" t="b">
        <v>0</v>
      </c>
      <c r="O301" s="22" t="b">
        <v>0</v>
      </c>
      <c r="P301" s="23" t="b">
        <v>0</v>
      </c>
    </row>
    <row r="302" hidden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1"/>
      <c r="M302" s="22" t="b">
        <v>0</v>
      </c>
      <c r="O302" s="22" t="b">
        <v>0</v>
      </c>
      <c r="P302" s="23" t="b">
        <v>0</v>
      </c>
    </row>
    <row r="303" hidden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1"/>
      <c r="M303" s="22" t="b">
        <v>0</v>
      </c>
      <c r="O303" s="22" t="b">
        <v>0</v>
      </c>
      <c r="P303" s="23" t="b">
        <v>0</v>
      </c>
    </row>
    <row r="304" hidden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1"/>
      <c r="M304" s="22" t="b">
        <v>0</v>
      </c>
      <c r="O304" s="22" t="b">
        <v>0</v>
      </c>
      <c r="P304" s="23" t="b">
        <v>0</v>
      </c>
    </row>
    <row r="305" hidden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1"/>
      <c r="M305" s="22" t="b">
        <v>0</v>
      </c>
      <c r="O305" s="22" t="b">
        <v>0</v>
      </c>
      <c r="P305" s="23" t="b">
        <v>0</v>
      </c>
    </row>
    <row r="306" hidden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1"/>
      <c r="M306" s="22" t="b">
        <v>0</v>
      </c>
      <c r="O306" s="22" t="b">
        <v>0</v>
      </c>
      <c r="P306" s="23" t="b">
        <v>0</v>
      </c>
    </row>
    <row r="307" hidden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1"/>
      <c r="M307" s="22" t="b">
        <v>0</v>
      </c>
      <c r="O307" s="22" t="b">
        <v>0</v>
      </c>
      <c r="P307" s="23" t="b">
        <v>0</v>
      </c>
    </row>
    <row r="308" hidden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1"/>
      <c r="M308" s="22" t="b">
        <v>0</v>
      </c>
      <c r="O308" s="22" t="b">
        <v>0</v>
      </c>
      <c r="P308" s="23" t="b">
        <v>0</v>
      </c>
    </row>
    <row r="309" hidden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1"/>
      <c r="M309" s="22" t="b">
        <v>0</v>
      </c>
      <c r="O309" s="22" t="b">
        <v>0</v>
      </c>
      <c r="P309" s="23" t="b">
        <v>0</v>
      </c>
    </row>
    <row r="310" hidden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1"/>
      <c r="M310" s="22" t="b">
        <v>0</v>
      </c>
      <c r="O310" s="22" t="b">
        <v>0</v>
      </c>
      <c r="P310" s="23" t="b">
        <v>0</v>
      </c>
    </row>
    <row r="311" hidden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1"/>
      <c r="M311" s="22" t="b">
        <v>0</v>
      </c>
      <c r="O311" s="22" t="b">
        <v>0</v>
      </c>
      <c r="P311" s="23" t="b">
        <v>0</v>
      </c>
    </row>
    <row r="312" hidden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1"/>
      <c r="M312" s="22" t="b">
        <v>0</v>
      </c>
      <c r="O312" s="22" t="b">
        <v>0</v>
      </c>
      <c r="P312" s="23" t="b">
        <v>0</v>
      </c>
    </row>
    <row r="313" hidden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1"/>
      <c r="M313" s="22" t="b">
        <v>0</v>
      </c>
      <c r="O313" s="22" t="b">
        <v>0</v>
      </c>
      <c r="P313" s="23" t="b">
        <v>0</v>
      </c>
    </row>
    <row r="314" hidden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1"/>
      <c r="M314" s="22" t="b">
        <v>0</v>
      </c>
      <c r="O314" s="22" t="b">
        <v>0</v>
      </c>
      <c r="P314" s="23" t="b">
        <v>0</v>
      </c>
    </row>
    <row r="315" hidden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1"/>
      <c r="M315" s="22" t="b">
        <v>0</v>
      </c>
      <c r="O315" s="22" t="b">
        <v>0</v>
      </c>
      <c r="P315" s="23" t="b">
        <v>0</v>
      </c>
    </row>
    <row r="316" hidden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1"/>
      <c r="M316" s="22" t="b">
        <v>0</v>
      </c>
      <c r="O316" s="22" t="b">
        <v>0</v>
      </c>
      <c r="P316" s="23" t="b">
        <v>0</v>
      </c>
    </row>
    <row r="317" hidden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1"/>
      <c r="M317" s="22" t="b">
        <v>0</v>
      </c>
      <c r="O317" s="22" t="b">
        <v>0</v>
      </c>
      <c r="P317" s="23" t="b">
        <v>0</v>
      </c>
    </row>
    <row r="318" hidden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1"/>
      <c r="M318" s="22" t="b">
        <v>0</v>
      </c>
      <c r="O318" s="22" t="b">
        <v>0</v>
      </c>
      <c r="P318" s="23" t="b">
        <v>0</v>
      </c>
    </row>
    <row r="319" hidden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1"/>
      <c r="M319" s="22" t="b">
        <v>0</v>
      </c>
      <c r="O319" s="22" t="b">
        <v>0</v>
      </c>
      <c r="P319" s="23" t="b">
        <v>0</v>
      </c>
    </row>
    <row r="320" hidden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1"/>
      <c r="M320" s="22" t="b">
        <v>0</v>
      </c>
      <c r="O320" s="22" t="b">
        <v>0</v>
      </c>
      <c r="P320" s="23" t="b">
        <v>0</v>
      </c>
    </row>
    <row r="321" hidden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1"/>
      <c r="M321" s="22" t="b">
        <v>0</v>
      </c>
      <c r="O321" s="22" t="b">
        <v>0</v>
      </c>
      <c r="P321" s="23" t="b">
        <v>0</v>
      </c>
    </row>
    <row r="322" hidden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1"/>
      <c r="M322" s="22" t="b">
        <v>0</v>
      </c>
      <c r="O322" s="22" t="b">
        <v>0</v>
      </c>
      <c r="P322" s="23" t="b">
        <v>0</v>
      </c>
    </row>
    <row r="323" hidden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1"/>
      <c r="M323" s="22" t="b">
        <v>0</v>
      </c>
      <c r="O323" s="22" t="b">
        <v>0</v>
      </c>
      <c r="P323" s="23" t="b">
        <v>0</v>
      </c>
    </row>
    <row r="324" hidden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1"/>
      <c r="M324" s="22" t="b">
        <v>0</v>
      </c>
      <c r="O324" s="22" t="b">
        <v>0</v>
      </c>
      <c r="P324" s="23" t="b">
        <v>0</v>
      </c>
    </row>
    <row r="325" hidden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1"/>
      <c r="M325" s="22" t="b">
        <v>0</v>
      </c>
      <c r="O325" s="22" t="b">
        <v>0</v>
      </c>
      <c r="P325" s="23" t="b">
        <v>0</v>
      </c>
    </row>
    <row r="326" hidden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1"/>
      <c r="M326" s="22" t="b">
        <v>0</v>
      </c>
      <c r="O326" s="22" t="b">
        <v>0</v>
      </c>
      <c r="P326" s="23" t="b">
        <v>0</v>
      </c>
    </row>
    <row r="327" hidden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1"/>
      <c r="M327" s="22" t="b">
        <v>0</v>
      </c>
      <c r="O327" s="22" t="b">
        <v>0</v>
      </c>
      <c r="P327" s="23" t="b">
        <v>0</v>
      </c>
    </row>
    <row r="328" hidden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1"/>
      <c r="M328" s="22" t="b">
        <v>0</v>
      </c>
      <c r="O328" s="22" t="b">
        <v>0</v>
      </c>
      <c r="P328" s="23" t="b">
        <v>0</v>
      </c>
    </row>
    <row r="329" hidden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1"/>
      <c r="M329" s="22" t="b">
        <v>0</v>
      </c>
      <c r="O329" s="22" t="b">
        <v>0</v>
      </c>
      <c r="P329" s="23" t="b">
        <v>0</v>
      </c>
    </row>
    <row r="330" hidden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1"/>
      <c r="M330" s="22" t="b">
        <v>0</v>
      </c>
      <c r="O330" s="22" t="b">
        <v>0</v>
      </c>
      <c r="P330" s="23" t="b">
        <v>0</v>
      </c>
    </row>
    <row r="331" hidden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1"/>
      <c r="M331" s="22" t="b">
        <v>0</v>
      </c>
      <c r="O331" s="22" t="b">
        <v>0</v>
      </c>
      <c r="P331" s="23" t="b">
        <v>0</v>
      </c>
    </row>
    <row r="332" hidden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1"/>
      <c r="M332" s="22" t="b">
        <v>0</v>
      </c>
      <c r="O332" s="22" t="b">
        <v>0</v>
      </c>
      <c r="P332" s="23" t="b">
        <v>0</v>
      </c>
    </row>
    <row r="333" hidden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1"/>
      <c r="M333" s="22" t="b">
        <v>0</v>
      </c>
      <c r="O333" s="22" t="b">
        <v>0</v>
      </c>
      <c r="P333" s="23" t="b">
        <v>0</v>
      </c>
    </row>
    <row r="334" hidden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1"/>
      <c r="M334" s="22" t="b">
        <v>0</v>
      </c>
      <c r="O334" s="22" t="b">
        <v>0</v>
      </c>
      <c r="P334" s="23" t="b">
        <v>0</v>
      </c>
    </row>
    <row r="335" hidden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1"/>
      <c r="M335" s="22" t="b">
        <v>0</v>
      </c>
      <c r="O335" s="22" t="b">
        <v>0</v>
      </c>
      <c r="P335" s="23" t="b">
        <v>0</v>
      </c>
    </row>
    <row r="336" hidden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1"/>
      <c r="M336" s="22" t="b">
        <v>0</v>
      </c>
      <c r="O336" s="22" t="b">
        <v>0</v>
      </c>
      <c r="P336" s="23" t="b">
        <v>0</v>
      </c>
    </row>
    <row r="337" hidden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1"/>
      <c r="M337" s="22" t="b">
        <v>0</v>
      </c>
      <c r="O337" s="22" t="b">
        <v>0</v>
      </c>
      <c r="P337" s="23" t="b">
        <v>0</v>
      </c>
    </row>
    <row r="338" hidden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1"/>
      <c r="M338" s="22" t="b">
        <v>0</v>
      </c>
      <c r="O338" s="22" t="b">
        <v>0</v>
      </c>
      <c r="P338" s="23" t="b">
        <v>0</v>
      </c>
    </row>
    <row r="339" hidden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1"/>
      <c r="M339" s="22" t="b">
        <v>0</v>
      </c>
      <c r="O339" s="22" t="b">
        <v>0</v>
      </c>
      <c r="P339" s="23" t="b">
        <v>0</v>
      </c>
    </row>
    <row r="340" hidden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1"/>
      <c r="M340" s="22" t="b">
        <v>0</v>
      </c>
      <c r="O340" s="22" t="b">
        <v>0</v>
      </c>
      <c r="P340" s="23" t="b">
        <v>0</v>
      </c>
    </row>
    <row r="341" hidden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1"/>
      <c r="M341" s="22" t="b">
        <v>0</v>
      </c>
      <c r="O341" s="22" t="b">
        <v>0</v>
      </c>
      <c r="P341" s="23" t="b">
        <v>0</v>
      </c>
    </row>
    <row r="342" hidden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1"/>
      <c r="M342" s="22" t="b">
        <v>0</v>
      </c>
      <c r="O342" s="22" t="b">
        <v>0</v>
      </c>
      <c r="P342" s="23" t="b">
        <v>0</v>
      </c>
    </row>
    <row r="343" hidden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1"/>
      <c r="M343" s="22" t="b">
        <v>0</v>
      </c>
      <c r="O343" s="22" t="b">
        <v>0</v>
      </c>
      <c r="P343" s="23" t="b">
        <v>0</v>
      </c>
    </row>
    <row r="344" hidden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1"/>
      <c r="M344" s="22" t="b">
        <v>0</v>
      </c>
      <c r="O344" s="22" t="b">
        <v>0</v>
      </c>
      <c r="P344" s="23" t="b">
        <v>0</v>
      </c>
    </row>
    <row r="345" hidden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1"/>
      <c r="M345" s="22" t="b">
        <v>0</v>
      </c>
      <c r="O345" s="22" t="b">
        <v>0</v>
      </c>
      <c r="P345" s="23" t="b">
        <v>0</v>
      </c>
    </row>
    <row r="346" hidden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1"/>
      <c r="M346" s="22" t="b">
        <v>0</v>
      </c>
      <c r="O346" s="22" t="b">
        <v>0</v>
      </c>
      <c r="P346" s="23" t="b">
        <v>0</v>
      </c>
    </row>
    <row r="347" hidden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1"/>
      <c r="M347" s="22" t="b">
        <v>0</v>
      </c>
      <c r="O347" s="22" t="b">
        <v>0</v>
      </c>
      <c r="P347" s="23" t="b">
        <v>0</v>
      </c>
    </row>
    <row r="348" hidden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1"/>
      <c r="M348" s="22" t="b">
        <v>0</v>
      </c>
      <c r="O348" s="22" t="b">
        <v>0</v>
      </c>
      <c r="P348" s="23" t="b">
        <v>0</v>
      </c>
    </row>
    <row r="349" hidden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1"/>
      <c r="M349" s="22" t="b">
        <v>0</v>
      </c>
      <c r="O349" s="22" t="b">
        <v>0</v>
      </c>
      <c r="P349" s="23" t="b">
        <v>0</v>
      </c>
    </row>
    <row r="350" hidden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1"/>
      <c r="M350" s="22" t="b">
        <v>0</v>
      </c>
      <c r="O350" s="22" t="b">
        <v>0</v>
      </c>
      <c r="P350" s="23" t="b">
        <v>0</v>
      </c>
    </row>
    <row r="351" hidden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1"/>
      <c r="M351" s="22" t="b">
        <v>0</v>
      </c>
      <c r="O351" s="22" t="b">
        <v>0</v>
      </c>
      <c r="P351" s="23" t="b">
        <v>0</v>
      </c>
    </row>
    <row r="352" hidden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1"/>
      <c r="M352" s="22" t="b">
        <v>0</v>
      </c>
      <c r="O352" s="22" t="b">
        <v>0</v>
      </c>
      <c r="P352" s="23" t="b">
        <v>0</v>
      </c>
    </row>
    <row r="353" hidden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1"/>
      <c r="M353" s="22" t="b">
        <v>0</v>
      </c>
      <c r="O353" s="22" t="b">
        <v>0</v>
      </c>
      <c r="P353" s="23" t="b">
        <v>0</v>
      </c>
    </row>
    <row r="354" hidden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1"/>
      <c r="M354" s="22" t="b">
        <v>0</v>
      </c>
      <c r="O354" s="22" t="b">
        <v>0</v>
      </c>
      <c r="P354" s="23" t="b">
        <v>0</v>
      </c>
    </row>
    <row r="355" hidden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1"/>
      <c r="M355" s="22" t="b">
        <v>0</v>
      </c>
      <c r="O355" s="22" t="b">
        <v>0</v>
      </c>
      <c r="P355" s="23" t="b">
        <v>0</v>
      </c>
    </row>
    <row r="356" hidden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1"/>
      <c r="M356" s="22" t="b">
        <v>0</v>
      </c>
      <c r="O356" s="22" t="b">
        <v>0</v>
      </c>
      <c r="P356" s="23" t="b">
        <v>0</v>
      </c>
    </row>
    <row r="357" hidden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1"/>
      <c r="M357" s="22" t="b">
        <v>0</v>
      </c>
      <c r="O357" s="22" t="b">
        <v>0</v>
      </c>
      <c r="P357" s="23" t="b">
        <v>0</v>
      </c>
    </row>
    <row r="358" hidden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1"/>
      <c r="M358" s="22" t="b">
        <v>0</v>
      </c>
      <c r="O358" s="22" t="b">
        <v>0</v>
      </c>
      <c r="P358" s="23" t="b">
        <v>0</v>
      </c>
    </row>
    <row r="359" hidden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1"/>
      <c r="M359" s="22" t="b">
        <v>0</v>
      </c>
      <c r="O359" s="22" t="b">
        <v>0</v>
      </c>
      <c r="P359" s="23" t="b">
        <v>0</v>
      </c>
    </row>
    <row r="360" hidden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1"/>
      <c r="M360" s="22" t="b">
        <v>0</v>
      </c>
      <c r="O360" s="22" t="b">
        <v>0</v>
      </c>
      <c r="P360" s="23" t="b">
        <v>0</v>
      </c>
    </row>
    <row r="361" hidden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1"/>
      <c r="M361" s="22" t="b">
        <v>0</v>
      </c>
      <c r="O361" s="22" t="b">
        <v>0</v>
      </c>
      <c r="P361" s="23" t="b">
        <v>0</v>
      </c>
    </row>
    <row r="362" hidden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1"/>
      <c r="M362" s="22" t="b">
        <v>0</v>
      </c>
      <c r="O362" s="22" t="b">
        <v>0</v>
      </c>
      <c r="P362" s="23" t="b">
        <v>0</v>
      </c>
    </row>
    <row r="363" hidden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1"/>
      <c r="M363" s="22" t="b">
        <v>0</v>
      </c>
      <c r="O363" s="22" t="b">
        <v>0</v>
      </c>
      <c r="P363" s="23" t="b">
        <v>0</v>
      </c>
    </row>
    <row r="364" hidden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1"/>
      <c r="M364" s="22" t="b">
        <v>0</v>
      </c>
      <c r="O364" s="22" t="b">
        <v>0</v>
      </c>
      <c r="P364" s="23" t="b">
        <v>0</v>
      </c>
    </row>
    <row r="365" hidden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1"/>
      <c r="M365" s="22" t="b">
        <v>0</v>
      </c>
      <c r="O365" s="22" t="b">
        <v>0</v>
      </c>
      <c r="P365" s="23" t="b">
        <v>0</v>
      </c>
    </row>
    <row r="366" hidden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1"/>
      <c r="M366" s="22" t="b">
        <v>0</v>
      </c>
      <c r="O366" s="22" t="b">
        <v>0</v>
      </c>
      <c r="P366" s="23" t="b">
        <v>0</v>
      </c>
    </row>
    <row r="367" hidden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1"/>
      <c r="M367" s="22" t="b">
        <v>0</v>
      </c>
      <c r="O367" s="22" t="b">
        <v>0</v>
      </c>
      <c r="P367" s="23" t="b">
        <v>0</v>
      </c>
    </row>
    <row r="368" hidden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1"/>
      <c r="M368" s="22" t="b">
        <v>0</v>
      </c>
      <c r="O368" s="22" t="b">
        <v>0</v>
      </c>
      <c r="P368" s="23" t="b">
        <v>0</v>
      </c>
    </row>
    <row r="369" hidden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1"/>
      <c r="M369" s="22" t="b">
        <v>0</v>
      </c>
      <c r="O369" s="22" t="b">
        <v>0</v>
      </c>
      <c r="P369" s="23" t="b">
        <v>0</v>
      </c>
    </row>
    <row r="370" hidden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1"/>
      <c r="M370" s="22" t="b">
        <v>0</v>
      </c>
      <c r="O370" s="22" t="b">
        <v>0</v>
      </c>
      <c r="P370" s="23" t="b">
        <v>0</v>
      </c>
    </row>
    <row r="371" hidden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1"/>
      <c r="M371" s="22" t="b">
        <v>0</v>
      </c>
      <c r="O371" s="22" t="b">
        <v>0</v>
      </c>
      <c r="P371" s="23" t="b">
        <v>0</v>
      </c>
    </row>
    <row r="372" hidden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1"/>
      <c r="M372" s="22" t="b">
        <v>0</v>
      </c>
      <c r="O372" s="22" t="b">
        <v>0</v>
      </c>
      <c r="P372" s="23" t="b">
        <v>0</v>
      </c>
    </row>
    <row r="373" hidden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1"/>
      <c r="M373" s="22" t="b">
        <v>0</v>
      </c>
      <c r="O373" s="22" t="b">
        <v>0</v>
      </c>
      <c r="P373" s="23" t="b">
        <v>0</v>
      </c>
    </row>
    <row r="374" hidden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1"/>
      <c r="M374" s="22" t="b">
        <v>0</v>
      </c>
      <c r="O374" s="22" t="b">
        <v>0</v>
      </c>
      <c r="P374" s="23" t="b">
        <v>0</v>
      </c>
    </row>
    <row r="375" hidden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1"/>
      <c r="M375" s="22" t="b">
        <v>0</v>
      </c>
      <c r="O375" s="22" t="b">
        <v>0</v>
      </c>
      <c r="P375" s="23" t="b">
        <v>0</v>
      </c>
    </row>
    <row r="376" hidden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1"/>
      <c r="M376" s="22" t="b">
        <v>0</v>
      </c>
      <c r="O376" s="22" t="b">
        <v>0</v>
      </c>
      <c r="P376" s="23" t="b">
        <v>0</v>
      </c>
    </row>
    <row r="377" hidden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1"/>
      <c r="M377" s="22" t="b">
        <v>0</v>
      </c>
      <c r="O377" s="22" t="b">
        <v>0</v>
      </c>
      <c r="P377" s="23" t="b">
        <v>0</v>
      </c>
    </row>
    <row r="378" hidden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1"/>
      <c r="M378" s="22" t="b">
        <v>0</v>
      </c>
      <c r="O378" s="22" t="b">
        <v>0</v>
      </c>
      <c r="P378" s="23" t="b">
        <v>0</v>
      </c>
    </row>
    <row r="379" hidden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1"/>
      <c r="M379" s="22" t="b">
        <v>0</v>
      </c>
      <c r="O379" s="22" t="b">
        <v>0</v>
      </c>
      <c r="P379" s="23" t="b">
        <v>0</v>
      </c>
    </row>
    <row r="380" hidden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1"/>
      <c r="M380" s="22" t="b">
        <v>0</v>
      </c>
      <c r="O380" s="22" t="b">
        <v>0</v>
      </c>
      <c r="P380" s="23" t="b">
        <v>0</v>
      </c>
    </row>
    <row r="381" hidden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1"/>
      <c r="M381" s="22" t="b">
        <v>0</v>
      </c>
      <c r="O381" s="22" t="b">
        <v>0</v>
      </c>
      <c r="P381" s="23" t="b">
        <v>0</v>
      </c>
    </row>
    <row r="382" hidden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1"/>
      <c r="M382" s="22" t="b">
        <v>0</v>
      </c>
      <c r="O382" s="22" t="b">
        <v>0</v>
      </c>
      <c r="P382" s="23" t="b">
        <v>0</v>
      </c>
    </row>
    <row r="383" hidden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1"/>
      <c r="M383" s="22" t="b">
        <v>0</v>
      </c>
      <c r="O383" s="22" t="b">
        <v>0</v>
      </c>
      <c r="P383" s="23" t="b">
        <v>0</v>
      </c>
    </row>
    <row r="384" hidden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1"/>
      <c r="M384" s="22" t="b">
        <v>0</v>
      </c>
      <c r="O384" s="22" t="b">
        <v>0</v>
      </c>
      <c r="P384" s="23" t="b">
        <v>0</v>
      </c>
    </row>
    <row r="385" hidden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1"/>
      <c r="M385" s="22" t="b">
        <v>0</v>
      </c>
      <c r="O385" s="22" t="b">
        <v>0</v>
      </c>
      <c r="P385" s="23" t="b">
        <v>0</v>
      </c>
    </row>
    <row r="386" hidden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1"/>
      <c r="M386" s="22" t="b">
        <v>0</v>
      </c>
      <c r="O386" s="22" t="b">
        <v>0</v>
      </c>
      <c r="P386" s="23" t="b">
        <v>0</v>
      </c>
    </row>
    <row r="387" hidden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1"/>
      <c r="M387" s="22" t="b">
        <v>0</v>
      </c>
      <c r="O387" s="22" t="b">
        <v>0</v>
      </c>
      <c r="P387" s="23" t="b">
        <v>0</v>
      </c>
    </row>
    <row r="388" hidden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1"/>
      <c r="M388" s="22" t="b">
        <v>0</v>
      </c>
      <c r="O388" s="22" t="b">
        <v>0</v>
      </c>
      <c r="P388" s="23" t="b">
        <v>0</v>
      </c>
    </row>
    <row r="389" hidden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1"/>
      <c r="M389" s="22" t="b">
        <v>0</v>
      </c>
      <c r="O389" s="22" t="b">
        <v>0</v>
      </c>
      <c r="P389" s="23" t="b">
        <v>0</v>
      </c>
    </row>
    <row r="390" hidden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1"/>
      <c r="M390" s="22" t="b">
        <v>0</v>
      </c>
      <c r="O390" s="22" t="b">
        <v>0</v>
      </c>
      <c r="P390" s="23" t="b">
        <v>0</v>
      </c>
    </row>
    <row r="391" hidden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1"/>
      <c r="M391" s="22" t="b">
        <v>0</v>
      </c>
      <c r="O391" s="22" t="b">
        <v>0</v>
      </c>
      <c r="P391" s="23" t="b">
        <v>0</v>
      </c>
    </row>
    <row r="392" hidden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1"/>
      <c r="M392" s="22" t="b">
        <v>0</v>
      </c>
      <c r="O392" s="22" t="b">
        <v>0</v>
      </c>
      <c r="P392" s="23" t="b">
        <v>0</v>
      </c>
    </row>
    <row r="393" hidden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1"/>
      <c r="M393" s="22" t="b">
        <v>0</v>
      </c>
      <c r="O393" s="22" t="b">
        <v>0</v>
      </c>
      <c r="P393" s="23" t="b">
        <v>0</v>
      </c>
    </row>
    <row r="394" hidden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1"/>
      <c r="M394" s="22" t="b">
        <v>0</v>
      </c>
      <c r="O394" s="22" t="b">
        <v>0</v>
      </c>
      <c r="P394" s="23" t="b">
        <v>0</v>
      </c>
    </row>
    <row r="395" hidden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1"/>
      <c r="M395" s="22" t="b">
        <v>0</v>
      </c>
      <c r="O395" s="22" t="b">
        <v>0</v>
      </c>
      <c r="P395" s="23" t="b">
        <v>0</v>
      </c>
    </row>
    <row r="396" hidden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1"/>
      <c r="M396" s="22" t="b">
        <v>0</v>
      </c>
      <c r="O396" s="22" t="b">
        <v>0</v>
      </c>
      <c r="P396" s="23" t="b">
        <v>0</v>
      </c>
    </row>
    <row r="397" hidden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1"/>
      <c r="M397" s="22" t="b">
        <v>0</v>
      </c>
      <c r="O397" s="22" t="b">
        <v>0</v>
      </c>
      <c r="P397" s="23" t="b">
        <v>0</v>
      </c>
    </row>
    <row r="398" hidden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1"/>
      <c r="M398" s="22" t="b">
        <v>0</v>
      </c>
      <c r="O398" s="22" t="b">
        <v>0</v>
      </c>
      <c r="P398" s="23" t="b">
        <v>0</v>
      </c>
    </row>
    <row r="399" hidden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1"/>
      <c r="M399" s="22" t="b">
        <v>0</v>
      </c>
      <c r="O399" s="22" t="b">
        <v>0</v>
      </c>
      <c r="P399" s="23" t="b">
        <v>0</v>
      </c>
    </row>
    <row r="400" hidden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1"/>
      <c r="M400" s="22" t="b">
        <v>0</v>
      </c>
      <c r="O400" s="22" t="b">
        <v>0</v>
      </c>
      <c r="P400" s="23" t="b">
        <v>0</v>
      </c>
    </row>
    <row r="401" hidden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1"/>
      <c r="M401" s="22" t="b">
        <v>0</v>
      </c>
      <c r="O401" s="22" t="b">
        <v>0</v>
      </c>
      <c r="P401" s="23" t="b">
        <v>0</v>
      </c>
    </row>
    <row r="402" hidden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1"/>
      <c r="M402" s="22" t="b">
        <v>0</v>
      </c>
      <c r="O402" s="22" t="b">
        <v>0</v>
      </c>
      <c r="P402" s="23" t="b">
        <v>0</v>
      </c>
    </row>
    <row r="403" hidden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1"/>
      <c r="M403" s="22" t="b">
        <v>0</v>
      </c>
      <c r="O403" s="22" t="b">
        <v>0</v>
      </c>
      <c r="P403" s="23" t="b">
        <v>0</v>
      </c>
    </row>
    <row r="404" hidden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1"/>
      <c r="M404" s="22" t="b">
        <v>0</v>
      </c>
      <c r="O404" s="22" t="b">
        <v>0</v>
      </c>
      <c r="P404" s="23" t="b">
        <v>0</v>
      </c>
    </row>
    <row r="405" hidden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1"/>
      <c r="M405" s="22" t="b">
        <v>0</v>
      </c>
      <c r="O405" s="22" t="b">
        <v>0</v>
      </c>
      <c r="P405" s="23" t="b">
        <v>0</v>
      </c>
    </row>
    <row r="406" hidden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1"/>
      <c r="M406" s="22" t="b">
        <v>0</v>
      </c>
      <c r="O406" s="22" t="b">
        <v>0</v>
      </c>
      <c r="P406" s="23" t="b">
        <v>0</v>
      </c>
    </row>
    <row r="407" hidden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1"/>
      <c r="M407" s="22" t="b">
        <v>0</v>
      </c>
      <c r="O407" s="22" t="b">
        <v>0</v>
      </c>
      <c r="P407" s="23" t="b">
        <v>0</v>
      </c>
    </row>
    <row r="408" hidden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1"/>
      <c r="M408" s="22" t="b">
        <v>0</v>
      </c>
      <c r="O408" s="22" t="b">
        <v>0</v>
      </c>
      <c r="P408" s="23" t="b">
        <v>0</v>
      </c>
    </row>
    <row r="409" hidden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1"/>
      <c r="M409" s="22" t="b">
        <v>0</v>
      </c>
      <c r="O409" s="22" t="b">
        <v>0</v>
      </c>
      <c r="P409" s="23" t="b">
        <v>0</v>
      </c>
    </row>
    <row r="410" hidden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1"/>
      <c r="M410" s="22" t="b">
        <v>0</v>
      </c>
      <c r="O410" s="22" t="b">
        <v>0</v>
      </c>
      <c r="P410" s="23" t="b">
        <v>0</v>
      </c>
    </row>
    <row r="411" hidden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1"/>
      <c r="M411" s="22" t="b">
        <v>0</v>
      </c>
      <c r="O411" s="22" t="b">
        <v>0</v>
      </c>
      <c r="P411" s="23" t="b">
        <v>0</v>
      </c>
    </row>
    <row r="412" hidden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1"/>
      <c r="M412" s="22" t="b">
        <v>0</v>
      </c>
      <c r="O412" s="22" t="b">
        <v>0</v>
      </c>
      <c r="P412" s="23" t="b">
        <v>0</v>
      </c>
    </row>
    <row r="413" hidden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1"/>
      <c r="M413" s="22" t="b">
        <v>0</v>
      </c>
      <c r="O413" s="22" t="b">
        <v>0</v>
      </c>
      <c r="P413" s="23" t="b">
        <v>0</v>
      </c>
    </row>
    <row r="414" hidden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1"/>
      <c r="M414" s="22" t="b">
        <v>0</v>
      </c>
      <c r="O414" s="22" t="b">
        <v>0</v>
      </c>
      <c r="P414" s="23" t="b">
        <v>0</v>
      </c>
    </row>
    <row r="415" hidden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1"/>
      <c r="M415" s="22" t="b">
        <v>0</v>
      </c>
      <c r="O415" s="22" t="b">
        <v>0</v>
      </c>
      <c r="P415" s="23" t="b">
        <v>0</v>
      </c>
    </row>
    <row r="416" hidden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1"/>
      <c r="M416" s="22" t="b">
        <v>0</v>
      </c>
      <c r="O416" s="22" t="b">
        <v>0</v>
      </c>
      <c r="P416" s="23" t="b">
        <v>0</v>
      </c>
    </row>
    <row r="417" hidden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1"/>
      <c r="M417" s="22" t="b">
        <v>0</v>
      </c>
      <c r="O417" s="22" t="b">
        <v>0</v>
      </c>
      <c r="P417" s="23" t="b">
        <v>0</v>
      </c>
    </row>
    <row r="418" hidden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1"/>
      <c r="M418" s="22" t="b">
        <v>0</v>
      </c>
      <c r="O418" s="22" t="b">
        <v>0</v>
      </c>
      <c r="P418" s="23" t="b">
        <v>0</v>
      </c>
    </row>
    <row r="419" hidden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1"/>
      <c r="M419" s="22" t="b">
        <v>0</v>
      </c>
      <c r="O419" s="22" t="b">
        <v>0</v>
      </c>
      <c r="P419" s="23" t="b">
        <v>0</v>
      </c>
    </row>
    <row r="420" hidden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1"/>
      <c r="M420" s="22" t="b">
        <v>0</v>
      </c>
      <c r="O420" s="22" t="b">
        <v>0</v>
      </c>
      <c r="P420" s="23" t="b">
        <v>0</v>
      </c>
    </row>
    <row r="421" hidden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1"/>
      <c r="M421" s="22" t="b">
        <v>0</v>
      </c>
      <c r="O421" s="22" t="b">
        <v>0</v>
      </c>
      <c r="P421" s="23" t="b">
        <v>0</v>
      </c>
    </row>
    <row r="422" hidden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1"/>
      <c r="M422" s="22" t="b">
        <v>0</v>
      </c>
      <c r="O422" s="22" t="b">
        <v>0</v>
      </c>
      <c r="P422" s="23" t="b">
        <v>0</v>
      </c>
    </row>
    <row r="423" hidden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1"/>
      <c r="M423" s="22" t="b">
        <v>0</v>
      </c>
      <c r="O423" s="22" t="b">
        <v>0</v>
      </c>
      <c r="P423" s="23" t="b">
        <v>0</v>
      </c>
    </row>
    <row r="424" hidden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1"/>
      <c r="M424" s="22" t="b">
        <v>0</v>
      </c>
      <c r="O424" s="22" t="b">
        <v>0</v>
      </c>
      <c r="P424" s="23" t="b">
        <v>0</v>
      </c>
    </row>
    <row r="425" hidden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1"/>
      <c r="M425" s="22" t="b">
        <v>0</v>
      </c>
      <c r="O425" s="22" t="b">
        <v>0</v>
      </c>
      <c r="P425" s="23" t="b">
        <v>0</v>
      </c>
    </row>
    <row r="426" hidden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1"/>
      <c r="M426" s="22" t="b">
        <v>0</v>
      </c>
      <c r="O426" s="22" t="b">
        <v>0</v>
      </c>
      <c r="P426" s="23" t="b">
        <v>0</v>
      </c>
    </row>
    <row r="427" hidden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1"/>
      <c r="M427" s="22" t="b">
        <v>0</v>
      </c>
      <c r="O427" s="22" t="b">
        <v>0</v>
      </c>
      <c r="P427" s="23" t="b">
        <v>0</v>
      </c>
    </row>
    <row r="428" hidden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1"/>
      <c r="M428" s="22" t="b">
        <v>0</v>
      </c>
      <c r="O428" s="22" t="b">
        <v>0</v>
      </c>
      <c r="P428" s="23" t="b">
        <v>0</v>
      </c>
    </row>
    <row r="429" hidden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1"/>
      <c r="M429" s="22" t="b">
        <v>0</v>
      </c>
      <c r="O429" s="22" t="b">
        <v>0</v>
      </c>
      <c r="P429" s="23" t="b">
        <v>0</v>
      </c>
    </row>
    <row r="430" hidden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1"/>
      <c r="M430" s="22" t="b">
        <v>0</v>
      </c>
      <c r="O430" s="22" t="b">
        <v>0</v>
      </c>
      <c r="P430" s="23" t="b">
        <v>0</v>
      </c>
    </row>
    <row r="431" hidden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1"/>
      <c r="M431" s="22" t="b">
        <v>0</v>
      </c>
      <c r="O431" s="22" t="b">
        <v>0</v>
      </c>
      <c r="P431" s="23" t="b">
        <v>0</v>
      </c>
    </row>
    <row r="432" hidden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1"/>
      <c r="M432" s="22" t="b">
        <v>0</v>
      </c>
      <c r="O432" s="22" t="b">
        <v>0</v>
      </c>
      <c r="P432" s="23" t="b">
        <v>0</v>
      </c>
    </row>
    <row r="433" hidden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1"/>
      <c r="M433" s="22" t="b">
        <v>0</v>
      </c>
      <c r="O433" s="22" t="b">
        <v>0</v>
      </c>
      <c r="P433" s="23" t="b">
        <v>0</v>
      </c>
    </row>
    <row r="434" hidden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1"/>
      <c r="M434" s="22" t="b">
        <v>0</v>
      </c>
      <c r="O434" s="22" t="b">
        <v>0</v>
      </c>
      <c r="P434" s="23" t="b">
        <v>0</v>
      </c>
    </row>
    <row r="435" hidden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1"/>
      <c r="M435" s="22" t="b">
        <v>0</v>
      </c>
      <c r="O435" s="22" t="b">
        <v>0</v>
      </c>
      <c r="P435" s="23" t="b">
        <v>0</v>
      </c>
    </row>
    <row r="436" hidden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1"/>
      <c r="M436" s="22" t="b">
        <v>0</v>
      </c>
      <c r="O436" s="22" t="b">
        <v>0</v>
      </c>
      <c r="P436" s="23" t="b">
        <v>0</v>
      </c>
    </row>
    <row r="437" hidden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1"/>
      <c r="M437" s="22" t="b">
        <v>0</v>
      </c>
      <c r="O437" s="22" t="b">
        <v>0</v>
      </c>
      <c r="P437" s="23" t="b">
        <v>0</v>
      </c>
    </row>
    <row r="438" hidden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1"/>
      <c r="M438" s="22" t="b">
        <v>0</v>
      </c>
      <c r="O438" s="22" t="b">
        <v>0</v>
      </c>
      <c r="P438" s="23" t="b">
        <v>0</v>
      </c>
    </row>
    <row r="439" hidden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1"/>
      <c r="M439" s="22" t="b">
        <v>0</v>
      </c>
      <c r="O439" s="22" t="b">
        <v>0</v>
      </c>
      <c r="P439" s="23" t="b">
        <v>0</v>
      </c>
    </row>
    <row r="440" hidden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1"/>
      <c r="M440" s="22" t="b">
        <v>0</v>
      </c>
      <c r="O440" s="22" t="b">
        <v>0</v>
      </c>
      <c r="P440" s="23" t="b">
        <v>0</v>
      </c>
    </row>
    <row r="441" hidden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1"/>
      <c r="M441" s="22" t="b">
        <v>0</v>
      </c>
      <c r="O441" s="22" t="b">
        <v>0</v>
      </c>
      <c r="P441" s="23" t="b">
        <v>0</v>
      </c>
    </row>
    <row r="442" hidden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1"/>
      <c r="M442" s="22" t="b">
        <v>0</v>
      </c>
      <c r="O442" s="22" t="b">
        <v>0</v>
      </c>
      <c r="P442" s="23" t="b">
        <v>0</v>
      </c>
    </row>
    <row r="443" hidden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1"/>
      <c r="M443" s="22" t="b">
        <v>0</v>
      </c>
      <c r="O443" s="22" t="b">
        <v>0</v>
      </c>
      <c r="P443" s="23" t="b">
        <v>0</v>
      </c>
    </row>
    <row r="444" hidden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1"/>
      <c r="M444" s="22" t="b">
        <v>0</v>
      </c>
      <c r="O444" s="22" t="b">
        <v>0</v>
      </c>
      <c r="P444" s="23" t="b">
        <v>0</v>
      </c>
    </row>
    <row r="445" hidden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1"/>
      <c r="M445" s="22" t="b">
        <v>0</v>
      </c>
      <c r="O445" s="22" t="b">
        <v>0</v>
      </c>
      <c r="P445" s="23" t="b">
        <v>0</v>
      </c>
    </row>
    <row r="446" hidden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1"/>
      <c r="M446" s="22" t="b">
        <v>0</v>
      </c>
      <c r="O446" s="22" t="b">
        <v>0</v>
      </c>
      <c r="P446" s="23" t="b">
        <v>0</v>
      </c>
    </row>
    <row r="447" hidden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1"/>
      <c r="M447" s="22" t="b">
        <v>0</v>
      </c>
      <c r="O447" s="22" t="b">
        <v>0</v>
      </c>
      <c r="P447" s="23" t="b">
        <v>0</v>
      </c>
    </row>
    <row r="448" hidden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1"/>
      <c r="M448" s="22" t="b">
        <v>0</v>
      </c>
      <c r="O448" s="22" t="b">
        <v>0</v>
      </c>
      <c r="P448" s="23" t="b">
        <v>0</v>
      </c>
    </row>
    <row r="449" hidden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1"/>
      <c r="M449" s="22" t="b">
        <v>0</v>
      </c>
      <c r="O449" s="22" t="b">
        <v>0</v>
      </c>
      <c r="P449" s="23" t="b">
        <v>0</v>
      </c>
    </row>
    <row r="450" hidden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1"/>
      <c r="M450" s="22" t="b">
        <v>0</v>
      </c>
      <c r="O450" s="22" t="b">
        <v>0</v>
      </c>
      <c r="P450" s="23" t="b">
        <v>0</v>
      </c>
    </row>
    <row r="451" hidden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1"/>
      <c r="M451" s="22" t="b">
        <v>0</v>
      </c>
      <c r="O451" s="22" t="b">
        <v>0</v>
      </c>
      <c r="P451" s="23" t="b">
        <v>0</v>
      </c>
    </row>
    <row r="452" hidden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1"/>
      <c r="M452" s="22" t="b">
        <v>0</v>
      </c>
      <c r="O452" s="22" t="b">
        <v>0</v>
      </c>
      <c r="P452" s="23" t="b">
        <v>0</v>
      </c>
    </row>
    <row r="453" hidden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1"/>
      <c r="M453" s="22" t="b">
        <v>0</v>
      </c>
      <c r="O453" s="22" t="b">
        <v>0</v>
      </c>
      <c r="P453" s="23" t="b">
        <v>0</v>
      </c>
    </row>
    <row r="454" hidden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1"/>
      <c r="M454" s="22" t="b">
        <v>0</v>
      </c>
      <c r="O454" s="22" t="b">
        <v>0</v>
      </c>
      <c r="P454" s="23" t="b">
        <v>0</v>
      </c>
    </row>
    <row r="455" hidden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1"/>
      <c r="M455" s="22" t="b">
        <v>0</v>
      </c>
      <c r="O455" s="22" t="b">
        <v>0</v>
      </c>
      <c r="P455" s="23" t="b">
        <v>0</v>
      </c>
    </row>
    <row r="456" hidden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1"/>
      <c r="M456" s="22" t="b">
        <v>0</v>
      </c>
      <c r="O456" s="22" t="b">
        <v>0</v>
      </c>
      <c r="P456" s="23" t="b">
        <v>0</v>
      </c>
    </row>
    <row r="457" hidden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1"/>
      <c r="M457" s="22" t="b">
        <v>0</v>
      </c>
      <c r="O457" s="22" t="b">
        <v>0</v>
      </c>
      <c r="P457" s="23" t="b">
        <v>0</v>
      </c>
    </row>
    <row r="458" hidden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1"/>
      <c r="M458" s="22" t="b">
        <v>0</v>
      </c>
      <c r="O458" s="22" t="b">
        <v>0</v>
      </c>
      <c r="P458" s="23" t="b">
        <v>0</v>
      </c>
    </row>
    <row r="459" hidden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1"/>
      <c r="M459" s="22" t="b">
        <v>0</v>
      </c>
      <c r="O459" s="22" t="b">
        <v>0</v>
      </c>
      <c r="P459" s="23" t="b">
        <v>0</v>
      </c>
    </row>
    <row r="460" hidden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1"/>
      <c r="M460" s="22" t="b">
        <v>0</v>
      </c>
      <c r="O460" s="22" t="b">
        <v>0</v>
      </c>
      <c r="P460" s="23" t="b">
        <v>0</v>
      </c>
    </row>
    <row r="461" hidden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1"/>
      <c r="M461" s="22" t="b">
        <v>0</v>
      </c>
      <c r="O461" s="22" t="b">
        <v>0</v>
      </c>
      <c r="P461" s="23" t="b">
        <v>0</v>
      </c>
    </row>
    <row r="462" hidden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1"/>
      <c r="M462" s="22" t="b">
        <v>0</v>
      </c>
      <c r="O462" s="22" t="b">
        <v>0</v>
      </c>
      <c r="P462" s="23" t="b">
        <v>0</v>
      </c>
    </row>
    <row r="463" hidden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1"/>
      <c r="M463" s="22" t="b">
        <v>0</v>
      </c>
      <c r="O463" s="22" t="b">
        <v>0</v>
      </c>
      <c r="P463" s="23" t="b">
        <v>0</v>
      </c>
    </row>
    <row r="464" hidden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1"/>
      <c r="M464" s="22" t="b">
        <v>0</v>
      </c>
      <c r="O464" s="22" t="b">
        <v>0</v>
      </c>
      <c r="P464" s="23" t="b">
        <v>0</v>
      </c>
    </row>
    <row r="465" hidden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1"/>
      <c r="M465" s="22" t="b">
        <v>0</v>
      </c>
      <c r="O465" s="22" t="b">
        <v>0</v>
      </c>
      <c r="P465" s="23" t="b">
        <v>0</v>
      </c>
    </row>
    <row r="466" hidden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1"/>
      <c r="M466" s="22" t="b">
        <v>0</v>
      </c>
      <c r="O466" s="22" t="b">
        <v>0</v>
      </c>
      <c r="P466" s="23" t="b">
        <v>0</v>
      </c>
    </row>
    <row r="467" hidden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1"/>
      <c r="M467" s="22" t="b">
        <v>0</v>
      </c>
      <c r="O467" s="22" t="b">
        <v>0</v>
      </c>
      <c r="P467" s="23" t="b">
        <v>0</v>
      </c>
    </row>
    <row r="468" hidden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1"/>
      <c r="M468" s="22" t="b">
        <v>0</v>
      </c>
      <c r="O468" s="22" t="b">
        <v>0</v>
      </c>
      <c r="P468" s="23" t="b">
        <v>0</v>
      </c>
    </row>
    <row r="469" hidden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1"/>
      <c r="M469" s="22" t="b">
        <v>0</v>
      </c>
      <c r="O469" s="22" t="b">
        <v>0</v>
      </c>
      <c r="P469" s="23" t="b">
        <v>0</v>
      </c>
    </row>
    <row r="470" hidden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1"/>
      <c r="M470" s="22" t="b">
        <v>0</v>
      </c>
      <c r="O470" s="22" t="b">
        <v>0</v>
      </c>
      <c r="P470" s="23" t="b">
        <v>0</v>
      </c>
    </row>
    <row r="471" hidden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1"/>
      <c r="M471" s="22" t="b">
        <v>0</v>
      </c>
      <c r="O471" s="22" t="b">
        <v>0</v>
      </c>
      <c r="P471" s="23" t="b">
        <v>0</v>
      </c>
    </row>
    <row r="472" hidden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1"/>
      <c r="M472" s="22" t="b">
        <v>0</v>
      </c>
      <c r="O472" s="22" t="b">
        <v>0</v>
      </c>
      <c r="P472" s="23" t="b">
        <v>0</v>
      </c>
    </row>
    <row r="473" hidden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1"/>
      <c r="M473" s="22" t="b">
        <v>0</v>
      </c>
      <c r="O473" s="22" t="b">
        <v>0</v>
      </c>
      <c r="P473" s="23" t="b">
        <v>0</v>
      </c>
    </row>
    <row r="474" hidden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1"/>
      <c r="M474" s="22" t="b">
        <v>0</v>
      </c>
      <c r="O474" s="22" t="b">
        <v>0</v>
      </c>
      <c r="P474" s="23" t="b">
        <v>0</v>
      </c>
    </row>
    <row r="475" hidden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1"/>
      <c r="M475" s="22" t="b">
        <v>0</v>
      </c>
      <c r="O475" s="22" t="b">
        <v>0</v>
      </c>
      <c r="P475" s="23" t="b">
        <v>0</v>
      </c>
    </row>
    <row r="476" hidden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1"/>
      <c r="M476" s="22" t="b">
        <v>0</v>
      </c>
      <c r="O476" s="22" t="b">
        <v>0</v>
      </c>
      <c r="P476" s="23" t="b">
        <v>0</v>
      </c>
    </row>
    <row r="477" hidden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1"/>
      <c r="M477" s="22" t="b">
        <v>0</v>
      </c>
      <c r="O477" s="22" t="b">
        <v>0</v>
      </c>
      <c r="P477" s="23" t="b">
        <v>0</v>
      </c>
    </row>
    <row r="478" hidden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1"/>
      <c r="M478" s="22" t="b">
        <v>0</v>
      </c>
      <c r="O478" s="22" t="b">
        <v>0</v>
      </c>
      <c r="P478" s="23" t="b">
        <v>0</v>
      </c>
    </row>
    <row r="479" hidden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1"/>
      <c r="M479" s="22" t="b">
        <v>0</v>
      </c>
      <c r="O479" s="22" t="b">
        <v>0</v>
      </c>
      <c r="P479" s="23" t="b">
        <v>0</v>
      </c>
    </row>
    <row r="480" hidden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1"/>
      <c r="M480" s="22" t="b">
        <v>0</v>
      </c>
      <c r="O480" s="22" t="b">
        <v>0</v>
      </c>
      <c r="P480" s="23" t="b">
        <v>0</v>
      </c>
    </row>
    <row r="481" hidden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1"/>
      <c r="M481" s="22" t="b">
        <v>0</v>
      </c>
      <c r="O481" s="22" t="b">
        <v>0</v>
      </c>
      <c r="P481" s="23" t="b">
        <v>0</v>
      </c>
    </row>
    <row r="482" hidden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1"/>
      <c r="M482" s="22" t="b">
        <v>0</v>
      </c>
      <c r="O482" s="22" t="b">
        <v>0</v>
      </c>
      <c r="P482" s="23" t="b">
        <v>0</v>
      </c>
    </row>
    <row r="483" hidden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1"/>
      <c r="M483" s="22" t="b">
        <v>0</v>
      </c>
      <c r="O483" s="22" t="b">
        <v>0</v>
      </c>
      <c r="P483" s="23" t="b">
        <v>0</v>
      </c>
    </row>
    <row r="484" hidden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1"/>
      <c r="M484" s="22" t="b">
        <v>0</v>
      </c>
      <c r="O484" s="22" t="b">
        <v>0</v>
      </c>
      <c r="P484" s="23" t="b">
        <v>0</v>
      </c>
    </row>
    <row r="485" hidden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1"/>
      <c r="M485" s="22" t="b">
        <v>0</v>
      </c>
      <c r="O485" s="22" t="b">
        <v>0</v>
      </c>
      <c r="P485" s="23" t="b">
        <v>0</v>
      </c>
    </row>
    <row r="486" hidden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1"/>
      <c r="M486" s="22" t="b">
        <v>0</v>
      </c>
      <c r="O486" s="22" t="b">
        <v>0</v>
      </c>
      <c r="P486" s="23" t="b">
        <v>0</v>
      </c>
    </row>
    <row r="487" hidden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1"/>
      <c r="M487" s="22" t="b">
        <v>0</v>
      </c>
      <c r="O487" s="22" t="b">
        <v>0</v>
      </c>
      <c r="P487" s="23" t="b">
        <v>0</v>
      </c>
    </row>
    <row r="488" hidden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1"/>
      <c r="M488" s="22" t="b">
        <v>0</v>
      </c>
      <c r="O488" s="22" t="b">
        <v>0</v>
      </c>
      <c r="P488" s="23" t="b">
        <v>0</v>
      </c>
    </row>
    <row r="489" hidden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1"/>
      <c r="M489" s="22" t="b">
        <v>0</v>
      </c>
      <c r="O489" s="22" t="b">
        <v>0</v>
      </c>
      <c r="P489" s="23" t="b">
        <v>0</v>
      </c>
    </row>
    <row r="490" hidden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1"/>
      <c r="M490" s="22" t="b">
        <v>0</v>
      </c>
      <c r="O490" s="22" t="b">
        <v>0</v>
      </c>
      <c r="P490" s="23" t="b">
        <v>0</v>
      </c>
    </row>
    <row r="491" hidden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1"/>
      <c r="M491" s="22" t="b">
        <v>0</v>
      </c>
      <c r="O491" s="22" t="b">
        <v>0</v>
      </c>
      <c r="P491" s="23" t="b">
        <v>0</v>
      </c>
    </row>
    <row r="492" hidden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1"/>
      <c r="M492" s="22" t="b">
        <v>0</v>
      </c>
      <c r="O492" s="22" t="b">
        <v>0</v>
      </c>
      <c r="P492" s="23" t="b">
        <v>0</v>
      </c>
    </row>
    <row r="493" hidden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1"/>
      <c r="M493" s="22" t="b">
        <v>0</v>
      </c>
      <c r="O493" s="22" t="b">
        <v>0</v>
      </c>
      <c r="P493" s="23" t="b">
        <v>0</v>
      </c>
    </row>
    <row r="494" hidden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1"/>
      <c r="M494" s="22" t="b">
        <v>0</v>
      </c>
      <c r="O494" s="22" t="b">
        <v>0</v>
      </c>
      <c r="P494" s="23" t="b">
        <v>0</v>
      </c>
    </row>
    <row r="495" hidden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1"/>
      <c r="M495" s="22" t="b">
        <v>0</v>
      </c>
      <c r="O495" s="22" t="b">
        <v>0</v>
      </c>
      <c r="P495" s="23" t="b">
        <v>0</v>
      </c>
    </row>
    <row r="496" hidden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1"/>
      <c r="M496" s="22" t="b">
        <v>0</v>
      </c>
      <c r="O496" s="22" t="b">
        <v>0</v>
      </c>
      <c r="P496" s="23" t="b">
        <v>0</v>
      </c>
    </row>
    <row r="497" hidden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1"/>
      <c r="M497" s="22" t="b">
        <v>0</v>
      </c>
      <c r="O497" s="22" t="b">
        <v>0</v>
      </c>
      <c r="P497" s="23" t="b">
        <v>0</v>
      </c>
    </row>
    <row r="498" hidden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1"/>
      <c r="M498" s="22" t="b">
        <v>0</v>
      </c>
      <c r="O498" s="22" t="b">
        <v>0</v>
      </c>
      <c r="P498" s="23" t="b">
        <v>0</v>
      </c>
    </row>
    <row r="499" hidden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1"/>
      <c r="M499" s="22" t="b">
        <v>0</v>
      </c>
      <c r="O499" s="22" t="b">
        <v>0</v>
      </c>
      <c r="P499" s="23" t="b">
        <v>0</v>
      </c>
    </row>
    <row r="500" hidden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1"/>
      <c r="M500" s="22" t="b">
        <v>0</v>
      </c>
      <c r="O500" s="22" t="b">
        <v>0</v>
      </c>
      <c r="P500" s="23" t="b">
        <v>0</v>
      </c>
    </row>
    <row r="501" hidden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1"/>
      <c r="M501" s="22" t="b">
        <v>0</v>
      </c>
      <c r="O501" s="22" t="b">
        <v>0</v>
      </c>
      <c r="P501" s="23" t="b">
        <v>0</v>
      </c>
    </row>
    <row r="502" hidden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1"/>
      <c r="M502" s="22" t="b">
        <v>0</v>
      </c>
      <c r="O502" s="22" t="b">
        <v>0</v>
      </c>
      <c r="P502" s="23" t="b">
        <v>0</v>
      </c>
    </row>
    <row r="503" hidden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1"/>
      <c r="M503" s="22" t="b">
        <v>0</v>
      </c>
      <c r="O503" s="22" t="b">
        <v>0</v>
      </c>
      <c r="P503" s="23" t="b">
        <v>0</v>
      </c>
    </row>
    <row r="504" hidden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1"/>
      <c r="M504" s="22" t="b">
        <v>0</v>
      </c>
      <c r="O504" s="22" t="b">
        <v>0</v>
      </c>
      <c r="P504" s="23" t="b">
        <v>0</v>
      </c>
    </row>
    <row r="505" hidden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1"/>
      <c r="M505" s="22" t="b">
        <v>0</v>
      </c>
      <c r="O505" s="22" t="b">
        <v>0</v>
      </c>
      <c r="P505" s="23" t="b">
        <v>0</v>
      </c>
    </row>
    <row r="506" hidden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1"/>
      <c r="M506" s="22" t="b">
        <v>0</v>
      </c>
      <c r="O506" s="22" t="b">
        <v>0</v>
      </c>
      <c r="P506" s="23" t="b">
        <v>0</v>
      </c>
    </row>
    <row r="507" hidden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1"/>
      <c r="M507" s="22" t="b">
        <v>0</v>
      </c>
      <c r="O507" s="22" t="b">
        <v>0</v>
      </c>
      <c r="P507" s="23" t="b">
        <v>0</v>
      </c>
    </row>
    <row r="508" hidden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1"/>
      <c r="M508" s="22" t="b">
        <v>0</v>
      </c>
      <c r="O508" s="22" t="b">
        <v>0</v>
      </c>
      <c r="P508" s="23" t="b">
        <v>0</v>
      </c>
    </row>
    <row r="509" hidden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1"/>
      <c r="M509" s="22" t="b">
        <v>0</v>
      </c>
      <c r="O509" s="22" t="b">
        <v>0</v>
      </c>
      <c r="P509" s="23" t="b">
        <v>0</v>
      </c>
    </row>
    <row r="510" hidden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1"/>
      <c r="M510" s="22" t="b">
        <v>0</v>
      </c>
      <c r="O510" s="22" t="b">
        <v>0</v>
      </c>
      <c r="P510" s="23" t="b">
        <v>0</v>
      </c>
    </row>
    <row r="511" hidden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1"/>
      <c r="M511" s="22" t="b">
        <v>0</v>
      </c>
      <c r="O511" s="22" t="b">
        <v>0</v>
      </c>
      <c r="P511" s="23" t="b">
        <v>0</v>
      </c>
    </row>
    <row r="512" hidden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1"/>
      <c r="M512" s="22" t="b">
        <v>0</v>
      </c>
      <c r="O512" s="22" t="b">
        <v>0</v>
      </c>
      <c r="P512" s="23" t="b">
        <v>0</v>
      </c>
    </row>
    <row r="513" hidden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1"/>
      <c r="M513" s="22" t="b">
        <v>0</v>
      </c>
      <c r="O513" s="22" t="b">
        <v>0</v>
      </c>
      <c r="P513" s="23" t="b">
        <v>0</v>
      </c>
    </row>
    <row r="514" hidden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1"/>
      <c r="M514" s="22" t="b">
        <v>0</v>
      </c>
      <c r="O514" s="22" t="b">
        <v>0</v>
      </c>
      <c r="P514" s="23" t="b">
        <v>0</v>
      </c>
    </row>
    <row r="515" hidden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1"/>
      <c r="M515" s="22" t="b">
        <v>0</v>
      </c>
      <c r="O515" s="22" t="b">
        <v>0</v>
      </c>
      <c r="P515" s="23" t="b">
        <v>0</v>
      </c>
    </row>
    <row r="516" hidden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1"/>
      <c r="M516" s="22" t="b">
        <v>0</v>
      </c>
      <c r="O516" s="22" t="b">
        <v>0</v>
      </c>
      <c r="P516" s="23" t="b">
        <v>0</v>
      </c>
    </row>
    <row r="517" hidden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1"/>
      <c r="M517" s="22" t="b">
        <v>0</v>
      </c>
      <c r="O517" s="22" t="b">
        <v>0</v>
      </c>
      <c r="P517" s="23" t="b">
        <v>0</v>
      </c>
    </row>
    <row r="518" hidden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1"/>
      <c r="M518" s="22" t="b">
        <v>0</v>
      </c>
      <c r="O518" s="22" t="b">
        <v>0</v>
      </c>
      <c r="P518" s="23" t="b">
        <v>0</v>
      </c>
    </row>
    <row r="519" hidden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1"/>
      <c r="M519" s="22" t="b">
        <v>0</v>
      </c>
      <c r="O519" s="22" t="b">
        <v>0</v>
      </c>
      <c r="P519" s="23" t="b">
        <v>0</v>
      </c>
    </row>
    <row r="520" hidden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1"/>
      <c r="M520" s="22" t="b">
        <v>0</v>
      </c>
      <c r="O520" s="22" t="b">
        <v>0</v>
      </c>
      <c r="P520" s="23" t="b">
        <v>0</v>
      </c>
    </row>
    <row r="521" hidden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1"/>
      <c r="M521" s="22" t="b">
        <v>0</v>
      </c>
      <c r="O521" s="22" t="b">
        <v>0</v>
      </c>
      <c r="P521" s="23" t="b">
        <v>0</v>
      </c>
    </row>
    <row r="522" hidden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1"/>
      <c r="M522" s="22" t="b">
        <v>0</v>
      </c>
      <c r="O522" s="22" t="b">
        <v>0</v>
      </c>
      <c r="P522" s="23" t="b">
        <v>0</v>
      </c>
    </row>
    <row r="523" hidden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1"/>
      <c r="M523" s="22" t="b">
        <v>0</v>
      </c>
      <c r="O523" s="22" t="b">
        <v>0</v>
      </c>
      <c r="P523" s="23" t="b">
        <v>0</v>
      </c>
    </row>
    <row r="524" hidden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1"/>
      <c r="M524" s="22" t="b">
        <v>0</v>
      </c>
      <c r="O524" s="22" t="b">
        <v>0</v>
      </c>
      <c r="P524" s="23" t="b">
        <v>0</v>
      </c>
    </row>
    <row r="525" hidden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1"/>
      <c r="M525" s="22" t="b">
        <v>0</v>
      </c>
      <c r="O525" s="22" t="b">
        <v>0</v>
      </c>
      <c r="P525" s="23" t="b">
        <v>0</v>
      </c>
    </row>
    <row r="526" hidden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1"/>
      <c r="M526" s="22" t="b">
        <v>0</v>
      </c>
      <c r="O526" s="22" t="b">
        <v>0</v>
      </c>
      <c r="P526" s="23" t="b">
        <v>0</v>
      </c>
    </row>
    <row r="527" hidden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1"/>
      <c r="M527" s="22" t="b">
        <v>0</v>
      </c>
      <c r="O527" s="22" t="b">
        <v>0</v>
      </c>
      <c r="P527" s="23" t="b">
        <v>0</v>
      </c>
    </row>
    <row r="528" hidden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1"/>
      <c r="M528" s="22" t="b">
        <v>0</v>
      </c>
      <c r="O528" s="22" t="b">
        <v>0</v>
      </c>
      <c r="P528" s="23" t="b">
        <v>0</v>
      </c>
    </row>
    <row r="529" hidden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1"/>
      <c r="M529" s="22" t="b">
        <v>0</v>
      </c>
      <c r="O529" s="22" t="b">
        <v>0</v>
      </c>
      <c r="P529" s="23" t="b">
        <v>0</v>
      </c>
    </row>
    <row r="530" hidden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1"/>
      <c r="M530" s="22" t="b">
        <v>0</v>
      </c>
      <c r="O530" s="22" t="b">
        <v>0</v>
      </c>
      <c r="P530" s="23" t="b">
        <v>0</v>
      </c>
    </row>
    <row r="531" hidden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1"/>
      <c r="M531" s="22" t="b">
        <v>0</v>
      </c>
      <c r="O531" s="22" t="b">
        <v>0</v>
      </c>
      <c r="P531" s="23" t="b">
        <v>0</v>
      </c>
    </row>
    <row r="532" hidden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1"/>
      <c r="M532" s="22" t="b">
        <v>0</v>
      </c>
      <c r="O532" s="22" t="b">
        <v>0</v>
      </c>
      <c r="P532" s="23" t="b">
        <v>0</v>
      </c>
    </row>
    <row r="533" hidden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1"/>
      <c r="M533" s="22" t="b">
        <v>0</v>
      </c>
      <c r="O533" s="22" t="b">
        <v>0</v>
      </c>
      <c r="P533" s="23" t="b">
        <v>0</v>
      </c>
    </row>
    <row r="534" hidden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1"/>
      <c r="M534" s="22" t="b">
        <v>0</v>
      </c>
      <c r="O534" s="22" t="b">
        <v>0</v>
      </c>
      <c r="P534" s="23" t="b">
        <v>0</v>
      </c>
    </row>
    <row r="535" hidden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1"/>
      <c r="M535" s="22" t="b">
        <v>0</v>
      </c>
      <c r="O535" s="22" t="b">
        <v>0</v>
      </c>
      <c r="P535" s="23" t="b">
        <v>0</v>
      </c>
    </row>
    <row r="536" hidden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1"/>
      <c r="M536" s="22" t="b">
        <v>0</v>
      </c>
      <c r="O536" s="22" t="b">
        <v>0</v>
      </c>
      <c r="P536" s="23" t="b">
        <v>0</v>
      </c>
    </row>
    <row r="537" hidden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1"/>
      <c r="M537" s="22" t="b">
        <v>0</v>
      </c>
      <c r="O537" s="22" t="b">
        <v>0</v>
      </c>
      <c r="P537" s="23" t="b">
        <v>0</v>
      </c>
    </row>
    <row r="538" hidden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1"/>
      <c r="M538" s="22" t="b">
        <v>0</v>
      </c>
      <c r="O538" s="22" t="b">
        <v>0</v>
      </c>
      <c r="P538" s="23" t="b">
        <v>0</v>
      </c>
    </row>
    <row r="539" hidden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1"/>
      <c r="M539" s="22" t="b">
        <v>0</v>
      </c>
      <c r="O539" s="22" t="b">
        <v>0</v>
      </c>
      <c r="P539" s="23" t="b">
        <v>0</v>
      </c>
    </row>
    <row r="540" hidden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1"/>
      <c r="M540" s="22" t="b">
        <v>0</v>
      </c>
      <c r="O540" s="22" t="b">
        <v>0</v>
      </c>
      <c r="P540" s="23" t="b">
        <v>0</v>
      </c>
    </row>
    <row r="541" hidden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1"/>
      <c r="M541" s="22" t="b">
        <v>0</v>
      </c>
      <c r="O541" s="22" t="b">
        <v>0</v>
      </c>
      <c r="P541" s="23" t="b">
        <v>0</v>
      </c>
    </row>
    <row r="542" hidden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1"/>
      <c r="M542" s="22" t="b">
        <v>0</v>
      </c>
      <c r="O542" s="22" t="b">
        <v>0</v>
      </c>
      <c r="P542" s="23" t="b">
        <v>0</v>
      </c>
    </row>
    <row r="543" hidden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1"/>
      <c r="M543" s="22" t="b">
        <v>0</v>
      </c>
      <c r="O543" s="22" t="b">
        <v>0</v>
      </c>
      <c r="P543" s="23" t="b">
        <v>0</v>
      </c>
    </row>
    <row r="544" hidden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1"/>
      <c r="M544" s="22" t="b">
        <v>0</v>
      </c>
      <c r="O544" s="22" t="b">
        <v>0</v>
      </c>
      <c r="P544" s="23" t="b">
        <v>0</v>
      </c>
    </row>
    <row r="545" hidden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1"/>
      <c r="M545" s="22" t="b">
        <v>0</v>
      </c>
      <c r="O545" s="22" t="b">
        <v>0</v>
      </c>
      <c r="P545" s="23" t="b">
        <v>0</v>
      </c>
    </row>
    <row r="546" hidden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1"/>
      <c r="M546" s="22" t="b">
        <v>0</v>
      </c>
      <c r="O546" s="22" t="b">
        <v>0</v>
      </c>
      <c r="P546" s="23" t="b">
        <v>0</v>
      </c>
    </row>
    <row r="547" hidden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1"/>
      <c r="M547" s="22" t="b">
        <v>0</v>
      </c>
      <c r="O547" s="22" t="b">
        <v>0</v>
      </c>
      <c r="P547" s="23" t="b">
        <v>0</v>
      </c>
    </row>
    <row r="548" hidden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1"/>
      <c r="M548" s="22" t="b">
        <v>0</v>
      </c>
      <c r="O548" s="22" t="b">
        <v>0</v>
      </c>
      <c r="P548" s="23" t="b">
        <v>0</v>
      </c>
    </row>
    <row r="549" hidden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1"/>
      <c r="M549" s="22" t="b">
        <v>0</v>
      </c>
      <c r="O549" s="22" t="b">
        <v>0</v>
      </c>
      <c r="P549" s="23" t="b">
        <v>0</v>
      </c>
    </row>
    <row r="550" hidden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1"/>
      <c r="M550" s="22" t="b">
        <v>0</v>
      </c>
      <c r="O550" s="22" t="b">
        <v>0</v>
      </c>
      <c r="P550" s="23" t="b">
        <v>0</v>
      </c>
    </row>
    <row r="551" hidden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1"/>
      <c r="M551" s="22" t="b">
        <v>0</v>
      </c>
      <c r="O551" s="22" t="b">
        <v>0</v>
      </c>
      <c r="P551" s="23" t="b">
        <v>0</v>
      </c>
    </row>
    <row r="552" hidden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1"/>
      <c r="M552" s="22" t="b">
        <v>0</v>
      </c>
      <c r="O552" s="22" t="b">
        <v>0</v>
      </c>
      <c r="P552" s="23" t="b">
        <v>0</v>
      </c>
    </row>
    <row r="553" hidden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1"/>
      <c r="M553" s="22" t="b">
        <v>0</v>
      </c>
      <c r="O553" s="22" t="b">
        <v>0</v>
      </c>
      <c r="P553" s="23" t="b">
        <v>0</v>
      </c>
    </row>
    <row r="554" hidden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1"/>
      <c r="M554" s="22" t="b">
        <v>0</v>
      </c>
      <c r="O554" s="22" t="b">
        <v>0</v>
      </c>
      <c r="P554" s="23" t="b">
        <v>0</v>
      </c>
    </row>
    <row r="555" hidden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1"/>
      <c r="M555" s="22" t="b">
        <v>0</v>
      </c>
      <c r="O555" s="22" t="b">
        <v>0</v>
      </c>
      <c r="P555" s="23" t="b">
        <v>0</v>
      </c>
    </row>
    <row r="556" hidden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1"/>
      <c r="M556" s="22" t="b">
        <v>0</v>
      </c>
      <c r="O556" s="22" t="b">
        <v>0</v>
      </c>
      <c r="P556" s="23" t="b">
        <v>0</v>
      </c>
    </row>
    <row r="557" hidden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1"/>
      <c r="M557" s="22" t="b">
        <v>0</v>
      </c>
      <c r="O557" s="22" t="b">
        <v>0</v>
      </c>
      <c r="P557" s="23" t="b">
        <v>0</v>
      </c>
    </row>
    <row r="558" hidden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1"/>
      <c r="M558" s="22" t="b">
        <v>0</v>
      </c>
      <c r="O558" s="22" t="b">
        <v>0</v>
      </c>
      <c r="P558" s="23" t="b">
        <v>0</v>
      </c>
    </row>
    <row r="559" hidden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1"/>
      <c r="M559" s="22" t="b">
        <v>0</v>
      </c>
      <c r="O559" s="22" t="b">
        <v>0</v>
      </c>
      <c r="P559" s="23" t="b">
        <v>0</v>
      </c>
    </row>
    <row r="560" hidden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1"/>
      <c r="M560" s="22" t="b">
        <v>0</v>
      </c>
      <c r="O560" s="22" t="b">
        <v>0</v>
      </c>
      <c r="P560" s="23" t="b">
        <v>0</v>
      </c>
    </row>
    <row r="561" hidden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1"/>
      <c r="M561" s="22" t="b">
        <v>0</v>
      </c>
      <c r="O561" s="22" t="b">
        <v>0</v>
      </c>
      <c r="P561" s="23" t="b">
        <v>0</v>
      </c>
    </row>
    <row r="562" hidden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1"/>
      <c r="M562" s="22" t="b">
        <v>0</v>
      </c>
      <c r="O562" s="22" t="b">
        <v>0</v>
      </c>
      <c r="P562" s="23" t="b">
        <v>0</v>
      </c>
    </row>
    <row r="563" hidden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1"/>
      <c r="M563" s="22" t="b">
        <v>0</v>
      </c>
      <c r="O563" s="22" t="b">
        <v>0</v>
      </c>
      <c r="P563" s="23" t="b">
        <v>0</v>
      </c>
    </row>
    <row r="564" hidden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1"/>
      <c r="M564" s="22" t="b">
        <v>0</v>
      </c>
      <c r="O564" s="22" t="b">
        <v>0</v>
      </c>
      <c r="P564" s="23" t="b">
        <v>0</v>
      </c>
    </row>
    <row r="565" hidden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1"/>
      <c r="M565" s="22" t="b">
        <v>0</v>
      </c>
      <c r="O565" s="22" t="b">
        <v>0</v>
      </c>
      <c r="P565" s="23" t="b">
        <v>0</v>
      </c>
    </row>
    <row r="566" hidden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1"/>
      <c r="M566" s="22" t="b">
        <v>0</v>
      </c>
      <c r="O566" s="22" t="b">
        <v>0</v>
      </c>
      <c r="P566" s="23" t="b">
        <v>0</v>
      </c>
    </row>
    <row r="567" hidden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1"/>
      <c r="M567" s="22" t="b">
        <v>0</v>
      </c>
      <c r="O567" s="22" t="b">
        <v>0</v>
      </c>
      <c r="P567" s="23" t="b">
        <v>0</v>
      </c>
    </row>
    <row r="568" hidden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1"/>
      <c r="M568" s="22" t="b">
        <v>0</v>
      </c>
      <c r="O568" s="22" t="b">
        <v>0</v>
      </c>
      <c r="P568" s="23" t="b">
        <v>0</v>
      </c>
    </row>
    <row r="569" hidden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1"/>
      <c r="M569" s="22" t="b">
        <v>0</v>
      </c>
      <c r="O569" s="22" t="b">
        <v>0</v>
      </c>
      <c r="P569" s="23" t="b">
        <v>0</v>
      </c>
    </row>
    <row r="570" hidden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1"/>
      <c r="M570" s="22" t="b">
        <v>0</v>
      </c>
      <c r="O570" s="22" t="b">
        <v>0</v>
      </c>
      <c r="P570" s="23" t="b">
        <v>0</v>
      </c>
    </row>
    <row r="571" hidden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1"/>
      <c r="M571" s="22" t="b">
        <v>0</v>
      </c>
      <c r="O571" s="22" t="b">
        <v>0</v>
      </c>
      <c r="P571" s="23" t="b">
        <v>0</v>
      </c>
    </row>
    <row r="572" hidden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1"/>
      <c r="M572" s="22" t="b">
        <v>0</v>
      </c>
      <c r="O572" s="22" t="b">
        <v>0</v>
      </c>
      <c r="P572" s="23" t="b">
        <v>0</v>
      </c>
    </row>
    <row r="573" hidden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1"/>
      <c r="M573" s="22" t="b">
        <v>0</v>
      </c>
      <c r="O573" s="22" t="b">
        <v>0</v>
      </c>
      <c r="P573" s="23" t="b">
        <v>0</v>
      </c>
    </row>
    <row r="574" hidden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1"/>
      <c r="M574" s="22" t="b">
        <v>0</v>
      </c>
      <c r="O574" s="22" t="b">
        <v>0</v>
      </c>
      <c r="P574" s="23" t="b">
        <v>0</v>
      </c>
    </row>
    <row r="575" hidden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1"/>
      <c r="M575" s="22" t="b">
        <v>0</v>
      </c>
      <c r="O575" s="22" t="b">
        <v>0</v>
      </c>
      <c r="P575" s="23" t="b">
        <v>0</v>
      </c>
    </row>
    <row r="576" hidden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1"/>
      <c r="M576" s="22" t="b">
        <v>0</v>
      </c>
      <c r="O576" s="22" t="b">
        <v>0</v>
      </c>
      <c r="P576" s="23" t="b">
        <v>0</v>
      </c>
    </row>
    <row r="577" hidden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1"/>
      <c r="M577" s="22" t="b">
        <v>0</v>
      </c>
      <c r="O577" s="22" t="b">
        <v>0</v>
      </c>
      <c r="P577" s="23" t="b">
        <v>0</v>
      </c>
    </row>
    <row r="578" hidden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1"/>
      <c r="M578" s="22" t="b">
        <v>0</v>
      </c>
      <c r="O578" s="22" t="b">
        <v>0</v>
      </c>
      <c r="P578" s="23" t="b">
        <v>0</v>
      </c>
    </row>
    <row r="579" hidden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1"/>
      <c r="M579" s="22" t="b">
        <v>0</v>
      </c>
      <c r="O579" s="22" t="b">
        <v>0</v>
      </c>
      <c r="P579" s="23" t="b">
        <v>0</v>
      </c>
    </row>
    <row r="580" hidden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1"/>
      <c r="M580" s="22" t="b">
        <v>0</v>
      </c>
      <c r="O580" s="22" t="b">
        <v>0</v>
      </c>
      <c r="P580" s="23" t="b">
        <v>0</v>
      </c>
    </row>
    <row r="581" hidden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1"/>
      <c r="M581" s="22" t="b">
        <v>0</v>
      </c>
      <c r="O581" s="22" t="b">
        <v>0</v>
      </c>
      <c r="P581" s="23" t="b">
        <v>0</v>
      </c>
    </row>
    <row r="582" hidden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1"/>
      <c r="M582" s="22" t="b">
        <v>0</v>
      </c>
      <c r="O582" s="22" t="b">
        <v>0</v>
      </c>
      <c r="P582" s="23" t="b">
        <v>0</v>
      </c>
    </row>
    <row r="583" hidden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1"/>
      <c r="M583" s="22" t="b">
        <v>0</v>
      </c>
      <c r="O583" s="22" t="b">
        <v>0</v>
      </c>
      <c r="P583" s="23" t="b">
        <v>0</v>
      </c>
    </row>
    <row r="584" hidden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1"/>
      <c r="M584" s="22" t="b">
        <v>0</v>
      </c>
      <c r="O584" s="22" t="b">
        <v>0</v>
      </c>
      <c r="P584" s="23" t="b">
        <v>0</v>
      </c>
    </row>
    <row r="585" hidden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1"/>
      <c r="M585" s="22" t="b">
        <v>0</v>
      </c>
      <c r="O585" s="22" t="b">
        <v>0</v>
      </c>
      <c r="P585" s="23" t="b">
        <v>0</v>
      </c>
    </row>
    <row r="586" hidden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1"/>
      <c r="M586" s="22" t="b">
        <v>0</v>
      </c>
      <c r="O586" s="22" t="b">
        <v>0</v>
      </c>
      <c r="P586" s="23" t="b">
        <v>0</v>
      </c>
    </row>
    <row r="587" hidden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1"/>
      <c r="M587" s="22" t="b">
        <v>0</v>
      </c>
      <c r="O587" s="22" t="b">
        <v>0</v>
      </c>
      <c r="P587" s="23" t="b">
        <v>0</v>
      </c>
    </row>
    <row r="588" hidden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1"/>
      <c r="M588" s="22" t="b">
        <v>0</v>
      </c>
      <c r="O588" s="22" t="b">
        <v>0</v>
      </c>
      <c r="P588" s="23" t="b">
        <v>0</v>
      </c>
    </row>
    <row r="589" hidden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1"/>
      <c r="M589" s="22" t="b">
        <v>0</v>
      </c>
      <c r="O589" s="22" t="b">
        <v>0</v>
      </c>
      <c r="P589" s="23" t="b">
        <v>0</v>
      </c>
    </row>
    <row r="590" hidden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1"/>
      <c r="M590" s="22" t="b">
        <v>0</v>
      </c>
      <c r="O590" s="22" t="b">
        <v>0</v>
      </c>
      <c r="P590" s="23" t="b">
        <v>0</v>
      </c>
    </row>
    <row r="591" hidden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1"/>
      <c r="M591" s="22" t="b">
        <v>0</v>
      </c>
      <c r="O591" s="22" t="b">
        <v>0</v>
      </c>
      <c r="P591" s="23" t="b">
        <v>0</v>
      </c>
    </row>
    <row r="592" hidden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1"/>
      <c r="M592" s="22" t="b">
        <v>0</v>
      </c>
      <c r="O592" s="22" t="b">
        <v>0</v>
      </c>
      <c r="P592" s="23" t="b">
        <v>0</v>
      </c>
    </row>
    <row r="593" hidden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1"/>
      <c r="M593" s="22" t="b">
        <v>0</v>
      </c>
      <c r="O593" s="22" t="b">
        <v>0</v>
      </c>
      <c r="P593" s="23" t="b">
        <v>0</v>
      </c>
    </row>
    <row r="594" hidden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1"/>
      <c r="M594" s="22" t="b">
        <v>0</v>
      </c>
      <c r="O594" s="22" t="b">
        <v>0</v>
      </c>
      <c r="P594" s="23" t="b">
        <v>0</v>
      </c>
    </row>
    <row r="595" hidden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1"/>
      <c r="M595" s="22" t="b">
        <v>0</v>
      </c>
      <c r="O595" s="22" t="b">
        <v>0</v>
      </c>
      <c r="P595" s="23" t="b">
        <v>0</v>
      </c>
    </row>
    <row r="596" hidden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1"/>
      <c r="M596" s="22" t="b">
        <v>0</v>
      </c>
      <c r="O596" s="22" t="b">
        <v>0</v>
      </c>
      <c r="P596" s="23" t="b">
        <v>0</v>
      </c>
    </row>
    <row r="597" hidden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1"/>
      <c r="M597" s="22" t="b">
        <v>0</v>
      </c>
      <c r="O597" s="22" t="b">
        <v>0</v>
      </c>
      <c r="P597" s="23" t="b">
        <v>0</v>
      </c>
    </row>
    <row r="598" hidden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1"/>
      <c r="M598" s="22" t="b">
        <v>0</v>
      </c>
      <c r="O598" s="22" t="b">
        <v>0</v>
      </c>
      <c r="P598" s="23" t="b">
        <v>0</v>
      </c>
    </row>
    <row r="599" hidden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1"/>
      <c r="M599" s="22" t="b">
        <v>0</v>
      </c>
      <c r="O599" s="22" t="b">
        <v>0</v>
      </c>
      <c r="P599" s="23" t="b">
        <v>0</v>
      </c>
    </row>
    <row r="600" hidden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1"/>
      <c r="M600" s="22" t="b">
        <v>0</v>
      </c>
      <c r="O600" s="22" t="b">
        <v>0</v>
      </c>
      <c r="P600" s="23" t="b">
        <v>0</v>
      </c>
    </row>
    <row r="601" hidden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1"/>
      <c r="M601" s="22" t="b">
        <v>0</v>
      </c>
      <c r="O601" s="22" t="b">
        <v>0</v>
      </c>
      <c r="P601" s="23" t="b">
        <v>0</v>
      </c>
    </row>
    <row r="602" hidden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1"/>
      <c r="M602" s="22" t="b">
        <v>0</v>
      </c>
      <c r="O602" s="22" t="b">
        <v>0</v>
      </c>
      <c r="P602" s="23" t="b">
        <v>0</v>
      </c>
    </row>
    <row r="603" hidden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1"/>
      <c r="M603" s="22" t="b">
        <v>0</v>
      </c>
      <c r="O603" s="22" t="b">
        <v>0</v>
      </c>
      <c r="P603" s="23" t="b">
        <v>0</v>
      </c>
    </row>
    <row r="604" hidden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1"/>
      <c r="M604" s="22" t="b">
        <v>0</v>
      </c>
      <c r="O604" s="22" t="b">
        <v>0</v>
      </c>
      <c r="P604" s="23" t="b">
        <v>0</v>
      </c>
    </row>
    <row r="605" hidden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1"/>
      <c r="M605" s="22" t="b">
        <v>0</v>
      </c>
      <c r="O605" s="22" t="b">
        <v>0</v>
      </c>
      <c r="P605" s="23" t="b">
        <v>0</v>
      </c>
    </row>
    <row r="606" hidden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1"/>
      <c r="M606" s="22" t="b">
        <v>0</v>
      </c>
      <c r="O606" s="22" t="b">
        <v>0</v>
      </c>
      <c r="P606" s="23" t="b">
        <v>0</v>
      </c>
    </row>
    <row r="607" hidden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1"/>
      <c r="M607" s="22" t="b">
        <v>0</v>
      </c>
      <c r="O607" s="22" t="b">
        <v>0</v>
      </c>
      <c r="P607" s="23" t="b">
        <v>0</v>
      </c>
    </row>
    <row r="608" hidden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1"/>
      <c r="M608" s="22" t="b">
        <v>0</v>
      </c>
      <c r="O608" s="22" t="b">
        <v>0</v>
      </c>
      <c r="P608" s="23" t="b">
        <v>0</v>
      </c>
    </row>
    <row r="609" hidden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1"/>
      <c r="M609" s="22" t="b">
        <v>0</v>
      </c>
      <c r="O609" s="22" t="b">
        <v>0</v>
      </c>
      <c r="P609" s="23" t="b">
        <v>0</v>
      </c>
    </row>
    <row r="610" hidden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1"/>
      <c r="M610" s="22" t="b">
        <v>0</v>
      </c>
      <c r="O610" s="22" t="b">
        <v>0</v>
      </c>
      <c r="P610" s="23" t="b">
        <v>0</v>
      </c>
    </row>
    <row r="611" hidden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1"/>
      <c r="M611" s="22" t="b">
        <v>0</v>
      </c>
      <c r="O611" s="22" t="b">
        <v>0</v>
      </c>
      <c r="P611" s="23" t="b">
        <v>0</v>
      </c>
    </row>
    <row r="612" hidden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1"/>
      <c r="M612" s="22" t="b">
        <v>0</v>
      </c>
      <c r="O612" s="22" t="b">
        <v>0</v>
      </c>
      <c r="P612" s="23" t="b">
        <v>0</v>
      </c>
    </row>
    <row r="613" hidden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1"/>
      <c r="M613" s="22" t="b">
        <v>0</v>
      </c>
      <c r="O613" s="22" t="b">
        <v>0</v>
      </c>
      <c r="P613" s="23" t="b">
        <v>0</v>
      </c>
    </row>
    <row r="614" hidden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1"/>
      <c r="M614" s="22" t="b">
        <v>0</v>
      </c>
      <c r="O614" s="22" t="b">
        <v>0</v>
      </c>
      <c r="P614" s="23" t="b">
        <v>0</v>
      </c>
    </row>
    <row r="615" hidden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1"/>
      <c r="M615" s="22" t="b">
        <v>0</v>
      </c>
      <c r="O615" s="22" t="b">
        <v>0</v>
      </c>
      <c r="P615" s="23" t="b">
        <v>0</v>
      </c>
    </row>
    <row r="616" hidden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1"/>
      <c r="M616" s="22" t="b">
        <v>0</v>
      </c>
      <c r="O616" s="22" t="b">
        <v>0</v>
      </c>
      <c r="P616" s="23" t="b">
        <v>0</v>
      </c>
    </row>
    <row r="617" hidden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1"/>
      <c r="M617" s="22" t="b">
        <v>0</v>
      </c>
      <c r="O617" s="22" t="b">
        <v>0</v>
      </c>
      <c r="P617" s="23" t="b">
        <v>0</v>
      </c>
    </row>
    <row r="618" hidden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1"/>
      <c r="M618" s="22" t="b">
        <v>0</v>
      </c>
      <c r="O618" s="22" t="b">
        <v>0</v>
      </c>
      <c r="P618" s="23" t="b">
        <v>0</v>
      </c>
    </row>
    <row r="619" hidden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1"/>
      <c r="M619" s="22" t="b">
        <v>0</v>
      </c>
      <c r="O619" s="22" t="b">
        <v>0</v>
      </c>
      <c r="P619" s="23" t="b">
        <v>0</v>
      </c>
    </row>
    <row r="620" hidden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1"/>
      <c r="M620" s="22" t="b">
        <v>0</v>
      </c>
      <c r="O620" s="22" t="b">
        <v>0</v>
      </c>
      <c r="P620" s="23" t="b">
        <v>0</v>
      </c>
    </row>
    <row r="621" hidden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1"/>
      <c r="M621" s="22" t="b">
        <v>0</v>
      </c>
      <c r="O621" s="22" t="b">
        <v>0</v>
      </c>
      <c r="P621" s="23" t="b">
        <v>0</v>
      </c>
    </row>
    <row r="622" hidden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1"/>
      <c r="M622" s="22" t="b">
        <v>0</v>
      </c>
      <c r="O622" s="22" t="b">
        <v>0</v>
      </c>
      <c r="P622" s="23" t="b">
        <v>0</v>
      </c>
    </row>
    <row r="623" hidden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1"/>
      <c r="M623" s="22" t="b">
        <v>0</v>
      </c>
      <c r="O623" s="22" t="b">
        <v>0</v>
      </c>
      <c r="P623" s="23" t="b">
        <v>0</v>
      </c>
    </row>
    <row r="624" hidden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1"/>
      <c r="M624" s="22" t="b">
        <v>0</v>
      </c>
      <c r="O624" s="22" t="b">
        <v>0</v>
      </c>
      <c r="P624" s="23" t="b">
        <v>0</v>
      </c>
    </row>
    <row r="625" hidden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1"/>
      <c r="M625" s="22" t="b">
        <v>0</v>
      </c>
      <c r="O625" s="22" t="b">
        <v>0</v>
      </c>
      <c r="P625" s="23" t="b">
        <v>0</v>
      </c>
    </row>
    <row r="626" hidden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1"/>
      <c r="M626" s="22" t="b">
        <v>0</v>
      </c>
      <c r="O626" s="22" t="b">
        <v>0</v>
      </c>
      <c r="P626" s="23" t="b">
        <v>0</v>
      </c>
    </row>
    <row r="627" hidden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1"/>
      <c r="M627" s="22" t="b">
        <v>0</v>
      </c>
      <c r="O627" s="22" t="b">
        <v>0</v>
      </c>
      <c r="P627" s="23" t="b">
        <v>0</v>
      </c>
    </row>
    <row r="628" hidden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1"/>
      <c r="M628" s="22" t="b">
        <v>0</v>
      </c>
      <c r="O628" s="22" t="b">
        <v>0</v>
      </c>
      <c r="P628" s="23" t="b">
        <v>0</v>
      </c>
    </row>
    <row r="629" hidden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1"/>
      <c r="M629" s="22" t="b">
        <v>0</v>
      </c>
      <c r="O629" s="22" t="b">
        <v>0</v>
      </c>
      <c r="P629" s="23" t="b">
        <v>0</v>
      </c>
    </row>
    <row r="630" hidden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1"/>
      <c r="M630" s="22" t="b">
        <v>0</v>
      </c>
      <c r="O630" s="22" t="b">
        <v>0</v>
      </c>
      <c r="P630" s="23" t="b">
        <v>0</v>
      </c>
    </row>
    <row r="631" hidden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1"/>
      <c r="M631" s="22" t="b">
        <v>0</v>
      </c>
      <c r="O631" s="22" t="b">
        <v>0</v>
      </c>
      <c r="P631" s="23" t="b">
        <v>0</v>
      </c>
    </row>
    <row r="632" hidden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1"/>
      <c r="M632" s="22" t="b">
        <v>0</v>
      </c>
      <c r="O632" s="22" t="b">
        <v>0</v>
      </c>
      <c r="P632" s="23" t="b">
        <v>0</v>
      </c>
    </row>
    <row r="633" hidden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1"/>
      <c r="M633" s="22" t="b">
        <v>0</v>
      </c>
      <c r="O633" s="22" t="b">
        <v>0</v>
      </c>
      <c r="P633" s="23" t="b">
        <v>0</v>
      </c>
    </row>
    <row r="634" hidden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1"/>
      <c r="M634" s="22" t="b">
        <v>0</v>
      </c>
      <c r="O634" s="22" t="b">
        <v>0</v>
      </c>
      <c r="P634" s="23" t="b">
        <v>0</v>
      </c>
    </row>
    <row r="635" hidden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1"/>
      <c r="M635" s="22" t="b">
        <v>0</v>
      </c>
      <c r="O635" s="22" t="b">
        <v>0</v>
      </c>
      <c r="P635" s="23" t="b">
        <v>0</v>
      </c>
    </row>
    <row r="636" hidden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1"/>
      <c r="M636" s="22" t="b">
        <v>0</v>
      </c>
      <c r="O636" s="22" t="b">
        <v>0</v>
      </c>
      <c r="P636" s="23" t="b">
        <v>0</v>
      </c>
    </row>
    <row r="637" hidden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1"/>
      <c r="M637" s="22" t="b">
        <v>0</v>
      </c>
      <c r="O637" s="22" t="b">
        <v>0</v>
      </c>
      <c r="P637" s="23" t="b">
        <v>0</v>
      </c>
    </row>
    <row r="638" hidden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1"/>
      <c r="M638" s="22" t="b">
        <v>0</v>
      </c>
      <c r="O638" s="22" t="b">
        <v>0</v>
      </c>
      <c r="P638" s="23" t="b">
        <v>0</v>
      </c>
    </row>
    <row r="639" hidden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1"/>
      <c r="M639" s="22" t="b">
        <v>0</v>
      </c>
      <c r="O639" s="22" t="b">
        <v>0</v>
      </c>
      <c r="P639" s="23" t="b">
        <v>0</v>
      </c>
    </row>
    <row r="640" hidden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1"/>
      <c r="M640" s="22" t="b">
        <v>0</v>
      </c>
      <c r="O640" s="22" t="b">
        <v>0</v>
      </c>
      <c r="P640" s="23" t="b">
        <v>0</v>
      </c>
    </row>
    <row r="641" hidden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1"/>
      <c r="M641" s="22" t="b">
        <v>0</v>
      </c>
      <c r="O641" s="22" t="b">
        <v>0</v>
      </c>
      <c r="P641" s="23" t="b">
        <v>0</v>
      </c>
    </row>
    <row r="642" hidden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1"/>
      <c r="M642" s="22" t="b">
        <v>0</v>
      </c>
      <c r="O642" s="22" t="b">
        <v>0</v>
      </c>
      <c r="P642" s="23" t="b">
        <v>0</v>
      </c>
    </row>
    <row r="643" hidden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1"/>
      <c r="M643" s="22" t="b">
        <v>0</v>
      </c>
      <c r="O643" s="22" t="b">
        <v>0</v>
      </c>
      <c r="P643" s="23" t="b">
        <v>0</v>
      </c>
    </row>
    <row r="644" hidden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1"/>
      <c r="M644" s="22" t="b">
        <v>0</v>
      </c>
      <c r="O644" s="22" t="b">
        <v>0</v>
      </c>
      <c r="P644" s="23" t="b">
        <v>0</v>
      </c>
    </row>
    <row r="645" hidden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1"/>
      <c r="M645" s="22" t="b">
        <v>0</v>
      </c>
      <c r="O645" s="22" t="b">
        <v>0</v>
      </c>
      <c r="P645" s="23" t="b">
        <v>0</v>
      </c>
    </row>
    <row r="646" hidden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1"/>
      <c r="M646" s="22" t="b">
        <v>0</v>
      </c>
      <c r="O646" s="22" t="b">
        <v>0</v>
      </c>
      <c r="P646" s="23" t="b">
        <v>0</v>
      </c>
    </row>
    <row r="647" hidden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1"/>
      <c r="M647" s="22" t="b">
        <v>0</v>
      </c>
      <c r="O647" s="22" t="b">
        <v>0</v>
      </c>
      <c r="P647" s="23" t="b">
        <v>0</v>
      </c>
    </row>
    <row r="648" hidden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1"/>
      <c r="M648" s="22" t="b">
        <v>0</v>
      </c>
      <c r="O648" s="22" t="b">
        <v>0</v>
      </c>
      <c r="P648" s="23" t="b">
        <v>0</v>
      </c>
    </row>
    <row r="649" hidden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1"/>
      <c r="M649" s="22" t="b">
        <v>0</v>
      </c>
      <c r="O649" s="22" t="b">
        <v>0</v>
      </c>
      <c r="P649" s="23" t="b">
        <v>0</v>
      </c>
    </row>
    <row r="650" hidden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1"/>
      <c r="M650" s="22" t="b">
        <v>0</v>
      </c>
      <c r="O650" s="22" t="b">
        <v>0</v>
      </c>
      <c r="P650" s="23" t="b">
        <v>0</v>
      </c>
    </row>
    <row r="651" hidden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1"/>
      <c r="M651" s="22" t="b">
        <v>0</v>
      </c>
      <c r="O651" s="22" t="b">
        <v>0</v>
      </c>
      <c r="P651" s="23" t="b">
        <v>0</v>
      </c>
    </row>
    <row r="652" hidden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1"/>
      <c r="M652" s="22" t="b">
        <v>0</v>
      </c>
      <c r="O652" s="22" t="b">
        <v>0</v>
      </c>
      <c r="P652" s="23" t="b">
        <v>0</v>
      </c>
    </row>
    <row r="653" hidden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1"/>
      <c r="M653" s="22" t="b">
        <v>0</v>
      </c>
      <c r="O653" s="22" t="b">
        <v>0</v>
      </c>
      <c r="P653" s="23" t="b">
        <v>0</v>
      </c>
    </row>
    <row r="654" hidden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1"/>
      <c r="M654" s="22" t="b">
        <v>0</v>
      </c>
      <c r="O654" s="22" t="b">
        <v>0</v>
      </c>
      <c r="P654" s="23" t="b">
        <v>0</v>
      </c>
    </row>
    <row r="655" hidden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1"/>
      <c r="M655" s="22" t="b">
        <v>0</v>
      </c>
      <c r="O655" s="22" t="b">
        <v>0</v>
      </c>
      <c r="P655" s="23" t="b">
        <v>0</v>
      </c>
    </row>
    <row r="656" hidden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1"/>
      <c r="M656" s="22" t="b">
        <v>0</v>
      </c>
      <c r="O656" s="22" t="b">
        <v>0</v>
      </c>
      <c r="P656" s="23" t="b">
        <v>0</v>
      </c>
    </row>
    <row r="657" hidden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1"/>
      <c r="M657" s="22" t="b">
        <v>0</v>
      </c>
      <c r="O657" s="22" t="b">
        <v>0</v>
      </c>
      <c r="P657" s="23" t="b">
        <v>0</v>
      </c>
    </row>
    <row r="658" hidden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1"/>
      <c r="M658" s="22" t="b">
        <v>0</v>
      </c>
      <c r="O658" s="22" t="b">
        <v>0</v>
      </c>
      <c r="P658" s="23" t="b">
        <v>0</v>
      </c>
    </row>
    <row r="659" hidden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1"/>
      <c r="M659" s="22" t="b">
        <v>0</v>
      </c>
      <c r="O659" s="22" t="b">
        <v>0</v>
      </c>
      <c r="P659" s="23" t="b">
        <v>0</v>
      </c>
    </row>
    <row r="660" hidden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1"/>
      <c r="M660" s="22" t="b">
        <v>0</v>
      </c>
      <c r="O660" s="22" t="b">
        <v>0</v>
      </c>
      <c r="P660" s="23" t="b">
        <v>0</v>
      </c>
    </row>
    <row r="661" hidden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1"/>
      <c r="M661" s="22" t="b">
        <v>0</v>
      </c>
      <c r="O661" s="22" t="b">
        <v>0</v>
      </c>
      <c r="P661" s="23" t="b">
        <v>0</v>
      </c>
    </row>
    <row r="662" hidden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1"/>
      <c r="M662" s="22" t="b">
        <v>0</v>
      </c>
      <c r="O662" s="22" t="b">
        <v>0</v>
      </c>
      <c r="P662" s="23" t="b">
        <v>0</v>
      </c>
    </row>
    <row r="663" hidden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1"/>
      <c r="M663" s="22" t="b">
        <v>0</v>
      </c>
      <c r="O663" s="22" t="b">
        <v>0</v>
      </c>
      <c r="P663" s="23" t="b">
        <v>0</v>
      </c>
    </row>
    <row r="664" hidden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1"/>
      <c r="M664" s="22" t="b">
        <v>0</v>
      </c>
      <c r="O664" s="22" t="b">
        <v>0</v>
      </c>
      <c r="P664" s="23" t="b">
        <v>0</v>
      </c>
    </row>
    <row r="665" hidden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1"/>
      <c r="M665" s="22" t="b">
        <v>0</v>
      </c>
      <c r="O665" s="22" t="b">
        <v>0</v>
      </c>
      <c r="P665" s="23" t="b">
        <v>0</v>
      </c>
    </row>
    <row r="666" hidden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1"/>
      <c r="M666" s="22" t="b">
        <v>0</v>
      </c>
      <c r="O666" s="22" t="b">
        <v>0</v>
      </c>
      <c r="P666" s="23" t="b">
        <v>0</v>
      </c>
    </row>
    <row r="667" hidden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1"/>
      <c r="M667" s="22" t="b">
        <v>0</v>
      </c>
      <c r="O667" s="22" t="b">
        <v>0</v>
      </c>
      <c r="P667" s="23" t="b">
        <v>0</v>
      </c>
    </row>
    <row r="668" hidden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1"/>
      <c r="M668" s="22" t="b">
        <v>0</v>
      </c>
      <c r="O668" s="22" t="b">
        <v>0</v>
      </c>
      <c r="P668" s="23" t="b">
        <v>0</v>
      </c>
    </row>
    <row r="669" hidden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1"/>
      <c r="M669" s="22" t="b">
        <v>0</v>
      </c>
      <c r="O669" s="22" t="b">
        <v>0</v>
      </c>
      <c r="P669" s="23" t="b">
        <v>0</v>
      </c>
    </row>
    <row r="670" hidden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1"/>
      <c r="M670" s="22" t="b">
        <v>0</v>
      </c>
      <c r="O670" s="22" t="b">
        <v>0</v>
      </c>
      <c r="P670" s="23" t="b">
        <v>0</v>
      </c>
    </row>
    <row r="671" hidden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1"/>
      <c r="M671" s="22" t="b">
        <v>0</v>
      </c>
      <c r="O671" s="22" t="b">
        <v>0</v>
      </c>
      <c r="P671" s="23" t="b">
        <v>0</v>
      </c>
    </row>
    <row r="672" hidden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1"/>
      <c r="M672" s="22" t="b">
        <v>0</v>
      </c>
      <c r="O672" s="22" t="b">
        <v>0</v>
      </c>
      <c r="P672" s="23" t="b">
        <v>0</v>
      </c>
    </row>
    <row r="673" hidden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1"/>
      <c r="M673" s="22" t="b">
        <v>0</v>
      </c>
      <c r="O673" s="22" t="b">
        <v>0</v>
      </c>
      <c r="P673" s="23" t="b">
        <v>0</v>
      </c>
    </row>
    <row r="674" hidden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1"/>
      <c r="M674" s="22" t="b">
        <v>0</v>
      </c>
      <c r="O674" s="22" t="b">
        <v>0</v>
      </c>
      <c r="P674" s="23" t="b">
        <v>0</v>
      </c>
    </row>
    <row r="675" hidden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1"/>
      <c r="M675" s="22" t="b">
        <v>0</v>
      </c>
      <c r="O675" s="22" t="b">
        <v>0</v>
      </c>
      <c r="P675" s="23" t="b">
        <v>0</v>
      </c>
    </row>
    <row r="676" hidden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1"/>
      <c r="M676" s="22" t="b">
        <v>0</v>
      </c>
      <c r="O676" s="22" t="b">
        <v>0</v>
      </c>
      <c r="P676" s="23" t="b">
        <v>0</v>
      </c>
    </row>
    <row r="677" hidden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1"/>
      <c r="M677" s="22" t="b">
        <v>0</v>
      </c>
      <c r="O677" s="22" t="b">
        <v>0</v>
      </c>
      <c r="P677" s="23" t="b">
        <v>0</v>
      </c>
    </row>
    <row r="678" hidden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1"/>
      <c r="M678" s="22" t="b">
        <v>0</v>
      </c>
      <c r="O678" s="22" t="b">
        <v>0</v>
      </c>
      <c r="P678" s="23" t="b">
        <v>0</v>
      </c>
    </row>
    <row r="679" hidden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1"/>
      <c r="M679" s="22" t="b">
        <v>0</v>
      </c>
      <c r="O679" s="22" t="b">
        <v>0</v>
      </c>
      <c r="P679" s="23" t="b">
        <v>0</v>
      </c>
    </row>
    <row r="680" hidden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1"/>
      <c r="M680" s="22" t="b">
        <v>0</v>
      </c>
      <c r="O680" s="22" t="b">
        <v>0</v>
      </c>
      <c r="P680" s="23" t="b">
        <v>0</v>
      </c>
    </row>
    <row r="681" hidden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1"/>
      <c r="M681" s="22" t="b">
        <v>0</v>
      </c>
      <c r="O681" s="22" t="b">
        <v>0</v>
      </c>
      <c r="P681" s="23" t="b">
        <v>0</v>
      </c>
    </row>
    <row r="682" hidden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1"/>
      <c r="M682" s="22" t="b">
        <v>0</v>
      </c>
      <c r="O682" s="22" t="b">
        <v>0</v>
      </c>
      <c r="P682" s="23" t="b">
        <v>0</v>
      </c>
    </row>
    <row r="683" hidden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1"/>
      <c r="M683" s="22" t="b">
        <v>0</v>
      </c>
      <c r="O683" s="22" t="b">
        <v>0</v>
      </c>
      <c r="P683" s="23" t="b">
        <v>0</v>
      </c>
    </row>
    <row r="684" hidden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1"/>
      <c r="M684" s="22" t="b">
        <v>0</v>
      </c>
      <c r="O684" s="22" t="b">
        <v>0</v>
      </c>
      <c r="P684" s="23" t="b">
        <v>0</v>
      </c>
    </row>
    <row r="685" hidden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1"/>
      <c r="M685" s="22" t="b">
        <v>0</v>
      </c>
      <c r="O685" s="22" t="b">
        <v>0</v>
      </c>
      <c r="P685" s="23" t="b">
        <v>0</v>
      </c>
    </row>
    <row r="686" hidden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1"/>
      <c r="M686" s="22" t="b">
        <v>0</v>
      </c>
      <c r="O686" s="22" t="b">
        <v>0</v>
      </c>
      <c r="P686" s="23" t="b">
        <v>0</v>
      </c>
    </row>
    <row r="687" hidden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1"/>
      <c r="M687" s="22" t="b">
        <v>0</v>
      </c>
      <c r="O687" s="22" t="b">
        <v>0</v>
      </c>
      <c r="P687" s="23" t="b">
        <v>0</v>
      </c>
    </row>
    <row r="688" hidden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1"/>
      <c r="M688" s="22" t="b">
        <v>0</v>
      </c>
      <c r="O688" s="22" t="b">
        <v>0</v>
      </c>
      <c r="P688" s="23" t="b">
        <v>0</v>
      </c>
    </row>
    <row r="689" hidden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1"/>
      <c r="M689" s="22" t="b">
        <v>0</v>
      </c>
      <c r="O689" s="22" t="b">
        <v>0</v>
      </c>
      <c r="P689" s="23" t="b">
        <v>0</v>
      </c>
    </row>
    <row r="690" hidden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1"/>
      <c r="M690" s="22" t="b">
        <v>0</v>
      </c>
      <c r="O690" s="22" t="b">
        <v>0</v>
      </c>
      <c r="P690" s="23" t="b">
        <v>0</v>
      </c>
    </row>
    <row r="691" hidden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1"/>
      <c r="M691" s="22" t="b">
        <v>0</v>
      </c>
      <c r="O691" s="22" t="b">
        <v>0</v>
      </c>
      <c r="P691" s="23" t="b">
        <v>0</v>
      </c>
    </row>
    <row r="692" hidden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1"/>
      <c r="M692" s="22" t="b">
        <v>0</v>
      </c>
      <c r="O692" s="22" t="b">
        <v>0</v>
      </c>
      <c r="P692" s="23" t="b">
        <v>0</v>
      </c>
    </row>
    <row r="693" hidden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1"/>
      <c r="M693" s="22" t="b">
        <v>0</v>
      </c>
      <c r="O693" s="22" t="b">
        <v>0</v>
      </c>
      <c r="P693" s="23" t="b">
        <v>0</v>
      </c>
    </row>
    <row r="694" hidden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1"/>
      <c r="M694" s="22" t="b">
        <v>0</v>
      </c>
      <c r="O694" s="22" t="b">
        <v>0</v>
      </c>
      <c r="P694" s="23" t="b">
        <v>0</v>
      </c>
    </row>
    <row r="695" hidden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1"/>
      <c r="M695" s="22" t="b">
        <v>0</v>
      </c>
      <c r="O695" s="22" t="b">
        <v>0</v>
      </c>
      <c r="P695" s="23" t="b">
        <v>0</v>
      </c>
    </row>
    <row r="696" hidden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1"/>
      <c r="M696" s="22" t="b">
        <v>0</v>
      </c>
      <c r="O696" s="22" t="b">
        <v>0</v>
      </c>
      <c r="P696" s="23" t="b">
        <v>0</v>
      </c>
    </row>
    <row r="697" hidden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1"/>
      <c r="M697" s="22" t="b">
        <v>0</v>
      </c>
      <c r="O697" s="22" t="b">
        <v>0</v>
      </c>
      <c r="P697" s="23" t="b">
        <v>0</v>
      </c>
    </row>
    <row r="698" hidden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1"/>
      <c r="M698" s="22" t="b">
        <v>0</v>
      </c>
      <c r="O698" s="22" t="b">
        <v>0</v>
      </c>
      <c r="P698" s="23" t="b">
        <v>0</v>
      </c>
    </row>
    <row r="699" hidden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1"/>
      <c r="M699" s="22" t="b">
        <v>0</v>
      </c>
      <c r="O699" s="22" t="b">
        <v>0</v>
      </c>
      <c r="P699" s="23" t="b">
        <v>0</v>
      </c>
    </row>
    <row r="700" hidden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1"/>
      <c r="M700" s="22" t="b">
        <v>0</v>
      </c>
      <c r="O700" s="22" t="b">
        <v>0</v>
      </c>
      <c r="P700" s="23" t="b">
        <v>0</v>
      </c>
    </row>
    <row r="701" hidden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1"/>
      <c r="M701" s="22" t="b">
        <v>0</v>
      </c>
      <c r="O701" s="22" t="b">
        <v>0</v>
      </c>
      <c r="P701" s="23" t="b">
        <v>0</v>
      </c>
    </row>
    <row r="702" hidden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1"/>
      <c r="M702" s="22" t="b">
        <v>0</v>
      </c>
      <c r="O702" s="22" t="b">
        <v>0</v>
      </c>
      <c r="P702" s="23" t="b">
        <v>0</v>
      </c>
    </row>
    <row r="703" hidden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1"/>
      <c r="M703" s="22" t="b">
        <v>0</v>
      </c>
      <c r="O703" s="22" t="b">
        <v>0</v>
      </c>
      <c r="P703" s="23" t="b">
        <v>0</v>
      </c>
    </row>
    <row r="704" hidden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1"/>
      <c r="M704" s="22" t="b">
        <v>0</v>
      </c>
      <c r="O704" s="22" t="b">
        <v>0</v>
      </c>
      <c r="P704" s="23" t="b">
        <v>0</v>
      </c>
    </row>
    <row r="705" hidden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1"/>
      <c r="M705" s="22" t="b">
        <v>0</v>
      </c>
      <c r="O705" s="22" t="b">
        <v>0</v>
      </c>
      <c r="P705" s="23" t="b">
        <v>0</v>
      </c>
    </row>
    <row r="706" hidden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1"/>
      <c r="M706" s="22" t="b">
        <v>0</v>
      </c>
      <c r="O706" s="22" t="b">
        <v>0</v>
      </c>
      <c r="P706" s="23" t="b">
        <v>0</v>
      </c>
    </row>
    <row r="707" hidden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1"/>
      <c r="M707" s="22" t="b">
        <v>0</v>
      </c>
      <c r="O707" s="22" t="b">
        <v>0</v>
      </c>
      <c r="P707" s="23" t="b">
        <v>0</v>
      </c>
    </row>
    <row r="708" hidden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1"/>
      <c r="M708" s="22" t="b">
        <v>0</v>
      </c>
      <c r="O708" s="22" t="b">
        <v>0</v>
      </c>
      <c r="P708" s="23" t="b">
        <v>0</v>
      </c>
    </row>
    <row r="709" hidden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1"/>
      <c r="M709" s="22" t="b">
        <v>0</v>
      </c>
      <c r="O709" s="22" t="b">
        <v>0</v>
      </c>
      <c r="P709" s="23" t="b">
        <v>0</v>
      </c>
    </row>
    <row r="710" hidden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1"/>
      <c r="M710" s="22" t="b">
        <v>0</v>
      </c>
      <c r="O710" s="22" t="b">
        <v>0</v>
      </c>
      <c r="P710" s="23" t="b">
        <v>0</v>
      </c>
    </row>
    <row r="711" hidden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1"/>
      <c r="M711" s="22" t="b">
        <v>0</v>
      </c>
      <c r="O711" s="22" t="b">
        <v>0</v>
      </c>
      <c r="P711" s="23" t="b">
        <v>0</v>
      </c>
    </row>
    <row r="712" hidden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1"/>
      <c r="M712" s="22" t="b">
        <v>0</v>
      </c>
      <c r="O712" s="22" t="b">
        <v>0</v>
      </c>
      <c r="P712" s="23" t="b">
        <v>0</v>
      </c>
    </row>
    <row r="713" hidden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1"/>
      <c r="M713" s="22" t="b">
        <v>0</v>
      </c>
      <c r="O713" s="22" t="b">
        <v>0</v>
      </c>
      <c r="P713" s="23" t="b">
        <v>0</v>
      </c>
    </row>
    <row r="714" hidden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1"/>
      <c r="M714" s="22" t="b">
        <v>0</v>
      </c>
      <c r="O714" s="22" t="b">
        <v>0</v>
      </c>
      <c r="P714" s="23" t="b">
        <v>0</v>
      </c>
    </row>
    <row r="715" hidden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1"/>
      <c r="M715" s="22" t="b">
        <v>0</v>
      </c>
      <c r="O715" s="22" t="b">
        <v>0</v>
      </c>
      <c r="P715" s="23" t="b">
        <v>0</v>
      </c>
    </row>
    <row r="716" hidden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1"/>
      <c r="M716" s="22" t="b">
        <v>0</v>
      </c>
      <c r="O716" s="22" t="b">
        <v>0</v>
      </c>
      <c r="P716" s="23" t="b">
        <v>0</v>
      </c>
    </row>
    <row r="717" hidden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1"/>
      <c r="M717" s="22" t="b">
        <v>0</v>
      </c>
      <c r="O717" s="22" t="b">
        <v>0</v>
      </c>
      <c r="P717" s="23" t="b">
        <v>0</v>
      </c>
    </row>
    <row r="718" hidden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1"/>
      <c r="M718" s="22" t="b">
        <v>0</v>
      </c>
      <c r="O718" s="22" t="b">
        <v>0</v>
      </c>
      <c r="P718" s="23" t="b">
        <v>0</v>
      </c>
    </row>
    <row r="719" hidden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1"/>
      <c r="M719" s="22" t="b">
        <v>0</v>
      </c>
      <c r="O719" s="22" t="b">
        <v>0</v>
      </c>
      <c r="P719" s="23" t="b">
        <v>0</v>
      </c>
    </row>
    <row r="720" hidden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1"/>
      <c r="M720" s="22" t="b">
        <v>0</v>
      </c>
      <c r="O720" s="22" t="b">
        <v>0</v>
      </c>
      <c r="P720" s="23" t="b">
        <v>0</v>
      </c>
    </row>
    <row r="721" hidden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1"/>
      <c r="M721" s="22" t="b">
        <v>0</v>
      </c>
      <c r="O721" s="22" t="b">
        <v>0</v>
      </c>
      <c r="P721" s="23" t="b">
        <v>0</v>
      </c>
    </row>
    <row r="722" hidden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1"/>
      <c r="M722" s="22" t="b">
        <v>0</v>
      </c>
      <c r="O722" s="22" t="b">
        <v>0</v>
      </c>
      <c r="P722" s="23" t="b">
        <v>0</v>
      </c>
    </row>
    <row r="723" hidden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1"/>
      <c r="M723" s="22" t="b">
        <v>0</v>
      </c>
      <c r="O723" s="22" t="b">
        <v>0</v>
      </c>
      <c r="P723" s="23" t="b">
        <v>0</v>
      </c>
    </row>
    <row r="724" hidden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1"/>
      <c r="M724" s="22" t="b">
        <v>0</v>
      </c>
      <c r="O724" s="22" t="b">
        <v>0</v>
      </c>
      <c r="P724" s="23" t="b">
        <v>0</v>
      </c>
    </row>
    <row r="725" hidden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1"/>
      <c r="M725" s="22" t="b">
        <v>0</v>
      </c>
      <c r="O725" s="22" t="b">
        <v>0</v>
      </c>
      <c r="P725" s="23" t="b">
        <v>0</v>
      </c>
    </row>
    <row r="726" hidden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1"/>
      <c r="M726" s="22" t="b">
        <v>0</v>
      </c>
      <c r="O726" s="22" t="b">
        <v>0</v>
      </c>
      <c r="P726" s="23" t="b">
        <v>0</v>
      </c>
    </row>
    <row r="727" hidden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1"/>
      <c r="M727" s="22" t="b">
        <v>0</v>
      </c>
      <c r="O727" s="22" t="b">
        <v>0</v>
      </c>
      <c r="P727" s="23" t="b">
        <v>0</v>
      </c>
    </row>
    <row r="728" hidden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1"/>
      <c r="M728" s="22" t="b">
        <v>0</v>
      </c>
      <c r="O728" s="22" t="b">
        <v>0</v>
      </c>
      <c r="P728" s="23" t="b">
        <v>0</v>
      </c>
    </row>
    <row r="729" hidden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1"/>
      <c r="M729" s="22" t="b">
        <v>0</v>
      </c>
      <c r="O729" s="22" t="b">
        <v>0</v>
      </c>
      <c r="P729" s="23" t="b">
        <v>0</v>
      </c>
    </row>
    <row r="730" hidden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1"/>
      <c r="M730" s="22" t="b">
        <v>0</v>
      </c>
      <c r="O730" s="22" t="b">
        <v>0</v>
      </c>
      <c r="P730" s="23" t="b">
        <v>0</v>
      </c>
    </row>
    <row r="731" hidden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1"/>
      <c r="M731" s="22" t="b">
        <v>0</v>
      </c>
      <c r="O731" s="22" t="b">
        <v>0</v>
      </c>
      <c r="P731" s="23" t="b">
        <v>0</v>
      </c>
    </row>
    <row r="732" hidden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1"/>
      <c r="M732" s="22" t="b">
        <v>0</v>
      </c>
      <c r="O732" s="22" t="b">
        <v>0</v>
      </c>
      <c r="P732" s="23" t="b">
        <v>0</v>
      </c>
    </row>
    <row r="733" hidden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1"/>
      <c r="M733" s="22" t="b">
        <v>0</v>
      </c>
      <c r="O733" s="22" t="b">
        <v>0</v>
      </c>
      <c r="P733" s="23" t="b">
        <v>0</v>
      </c>
    </row>
    <row r="734" hidden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1"/>
      <c r="M734" s="22" t="b">
        <v>0</v>
      </c>
      <c r="O734" s="22" t="b">
        <v>0</v>
      </c>
      <c r="P734" s="23" t="b">
        <v>0</v>
      </c>
    </row>
    <row r="735" hidden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1"/>
      <c r="M735" s="22" t="b">
        <v>0</v>
      </c>
      <c r="O735" s="22" t="b">
        <v>0</v>
      </c>
      <c r="P735" s="23" t="b">
        <v>0</v>
      </c>
    </row>
    <row r="736" hidden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1"/>
      <c r="M736" s="22" t="b">
        <v>0</v>
      </c>
      <c r="O736" s="22" t="b">
        <v>0</v>
      </c>
      <c r="P736" s="23" t="b">
        <v>0</v>
      </c>
    </row>
    <row r="737" hidden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1"/>
      <c r="M737" s="22" t="b">
        <v>0</v>
      </c>
      <c r="O737" s="22" t="b">
        <v>0</v>
      </c>
      <c r="P737" s="23" t="b">
        <v>0</v>
      </c>
    </row>
    <row r="738" hidden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1"/>
      <c r="M738" s="22" t="b">
        <v>0</v>
      </c>
      <c r="O738" s="22" t="b">
        <v>0</v>
      </c>
      <c r="P738" s="23" t="b">
        <v>0</v>
      </c>
    </row>
    <row r="739" hidden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1"/>
      <c r="M739" s="22" t="b">
        <v>0</v>
      </c>
      <c r="O739" s="22" t="b">
        <v>0</v>
      </c>
      <c r="P739" s="23" t="b">
        <v>0</v>
      </c>
    </row>
    <row r="740" hidden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1"/>
      <c r="M740" s="22" t="b">
        <v>0</v>
      </c>
      <c r="O740" s="22" t="b">
        <v>0</v>
      </c>
      <c r="P740" s="23" t="b">
        <v>0</v>
      </c>
    </row>
    <row r="741" hidden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1"/>
      <c r="M741" s="22" t="b">
        <v>0</v>
      </c>
      <c r="O741" s="22" t="b">
        <v>0</v>
      </c>
      <c r="P741" s="23" t="b">
        <v>0</v>
      </c>
    </row>
    <row r="742" hidden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1"/>
      <c r="M742" s="22" t="b">
        <v>0</v>
      </c>
      <c r="O742" s="22" t="b">
        <v>0</v>
      </c>
      <c r="P742" s="23" t="b">
        <v>0</v>
      </c>
    </row>
    <row r="743" hidden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1"/>
      <c r="M743" s="22" t="b">
        <v>0</v>
      </c>
      <c r="O743" s="22" t="b">
        <v>0</v>
      </c>
      <c r="P743" s="23" t="b">
        <v>0</v>
      </c>
    </row>
    <row r="744" hidden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1"/>
      <c r="M744" s="22" t="b">
        <v>0</v>
      </c>
      <c r="O744" s="22" t="b">
        <v>0</v>
      </c>
      <c r="P744" s="23" t="b">
        <v>0</v>
      </c>
    </row>
    <row r="745" hidden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1"/>
      <c r="M745" s="22" t="b">
        <v>0</v>
      </c>
      <c r="O745" s="22" t="b">
        <v>0</v>
      </c>
      <c r="P745" s="23" t="b">
        <v>0</v>
      </c>
    </row>
    <row r="746" hidden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1"/>
      <c r="M746" s="22" t="b">
        <v>0</v>
      </c>
      <c r="O746" s="22" t="b">
        <v>0</v>
      </c>
      <c r="P746" s="23" t="b">
        <v>0</v>
      </c>
    </row>
    <row r="747" hidden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1"/>
      <c r="M747" s="22" t="b">
        <v>0</v>
      </c>
      <c r="O747" s="22" t="b">
        <v>0</v>
      </c>
      <c r="P747" s="23" t="b">
        <v>0</v>
      </c>
    </row>
    <row r="748" hidden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1"/>
      <c r="M748" s="22" t="b">
        <v>0</v>
      </c>
      <c r="O748" s="22" t="b">
        <v>0</v>
      </c>
      <c r="P748" s="23" t="b">
        <v>0</v>
      </c>
    </row>
    <row r="749" hidden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1"/>
      <c r="M749" s="22" t="b">
        <v>0</v>
      </c>
      <c r="O749" s="22" t="b">
        <v>0</v>
      </c>
      <c r="P749" s="23" t="b">
        <v>0</v>
      </c>
    </row>
    <row r="750" hidden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1"/>
      <c r="M750" s="22" t="b">
        <v>0</v>
      </c>
      <c r="O750" s="22" t="b">
        <v>0</v>
      </c>
      <c r="P750" s="23" t="b">
        <v>0</v>
      </c>
    </row>
    <row r="751" hidden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1"/>
      <c r="M751" s="22" t="b">
        <v>0</v>
      </c>
      <c r="O751" s="22" t="b">
        <v>0</v>
      </c>
      <c r="P751" s="23" t="b">
        <v>0</v>
      </c>
    </row>
    <row r="752" hidden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1"/>
      <c r="M752" s="22" t="b">
        <v>0</v>
      </c>
      <c r="O752" s="22" t="b">
        <v>0</v>
      </c>
      <c r="P752" s="23" t="b">
        <v>0</v>
      </c>
    </row>
    <row r="753" hidden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1"/>
      <c r="M753" s="22" t="b">
        <v>0</v>
      </c>
      <c r="O753" s="22" t="b">
        <v>0</v>
      </c>
      <c r="P753" s="23" t="b">
        <v>0</v>
      </c>
    </row>
    <row r="754" hidden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1"/>
      <c r="M754" s="22" t="b">
        <v>0</v>
      </c>
      <c r="O754" s="22" t="b">
        <v>0</v>
      </c>
      <c r="P754" s="23" t="b">
        <v>0</v>
      </c>
    </row>
    <row r="755" hidden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1"/>
      <c r="M755" s="22" t="b">
        <v>0</v>
      </c>
      <c r="O755" s="22" t="b">
        <v>0</v>
      </c>
      <c r="P755" s="23" t="b">
        <v>0</v>
      </c>
    </row>
    <row r="756" hidden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1"/>
      <c r="M756" s="22" t="b">
        <v>0</v>
      </c>
      <c r="O756" s="22" t="b">
        <v>0</v>
      </c>
      <c r="P756" s="23" t="b">
        <v>0</v>
      </c>
    </row>
    <row r="757" hidden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1"/>
      <c r="M757" s="22" t="b">
        <v>0</v>
      </c>
      <c r="O757" s="22" t="b">
        <v>0</v>
      </c>
      <c r="P757" s="23" t="b">
        <v>0</v>
      </c>
    </row>
    <row r="758" hidden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1"/>
      <c r="M758" s="22" t="b">
        <v>0</v>
      </c>
      <c r="O758" s="22" t="b">
        <v>0</v>
      </c>
      <c r="P758" s="23" t="b">
        <v>0</v>
      </c>
    </row>
    <row r="759" hidden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1"/>
      <c r="M759" s="22" t="b">
        <v>0</v>
      </c>
      <c r="O759" s="22" t="b">
        <v>0</v>
      </c>
      <c r="P759" s="23" t="b">
        <v>0</v>
      </c>
    </row>
    <row r="760" hidden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1"/>
      <c r="M760" s="22" t="b">
        <v>0</v>
      </c>
      <c r="O760" s="22" t="b">
        <v>0</v>
      </c>
      <c r="P760" s="23" t="b">
        <v>0</v>
      </c>
    </row>
    <row r="761" hidden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1"/>
      <c r="M761" s="22" t="b">
        <v>0</v>
      </c>
      <c r="O761" s="22" t="b">
        <v>0</v>
      </c>
      <c r="P761" s="23" t="b">
        <v>0</v>
      </c>
    </row>
    <row r="762" hidden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1"/>
      <c r="M762" s="22" t="b">
        <v>0</v>
      </c>
      <c r="O762" s="22" t="b">
        <v>0</v>
      </c>
      <c r="P762" s="23" t="b">
        <v>0</v>
      </c>
    </row>
    <row r="763" hidden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1"/>
      <c r="M763" s="22" t="b">
        <v>0</v>
      </c>
      <c r="O763" s="22" t="b">
        <v>0</v>
      </c>
      <c r="P763" s="23" t="b">
        <v>0</v>
      </c>
    </row>
    <row r="764" hidden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1"/>
      <c r="M764" s="22" t="b">
        <v>0</v>
      </c>
      <c r="O764" s="22" t="b">
        <v>0</v>
      </c>
      <c r="P764" s="23" t="b">
        <v>0</v>
      </c>
    </row>
    <row r="765" hidden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1"/>
      <c r="M765" s="22" t="b">
        <v>0</v>
      </c>
      <c r="O765" s="22" t="b">
        <v>0</v>
      </c>
      <c r="P765" s="23" t="b">
        <v>0</v>
      </c>
    </row>
    <row r="766" hidden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1"/>
      <c r="M766" s="22" t="b">
        <v>0</v>
      </c>
      <c r="O766" s="22" t="b">
        <v>0</v>
      </c>
      <c r="P766" s="23" t="b">
        <v>0</v>
      </c>
    </row>
    <row r="767" hidden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1"/>
      <c r="M767" s="22" t="b">
        <v>0</v>
      </c>
      <c r="O767" s="22" t="b">
        <v>0</v>
      </c>
      <c r="P767" s="23" t="b">
        <v>0</v>
      </c>
    </row>
    <row r="768" hidden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1"/>
      <c r="M768" s="22" t="b">
        <v>0</v>
      </c>
      <c r="O768" s="22" t="b">
        <v>0</v>
      </c>
      <c r="P768" s="23" t="b">
        <v>0</v>
      </c>
    </row>
    <row r="769" hidden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1"/>
      <c r="M769" s="22" t="b">
        <v>0</v>
      </c>
      <c r="O769" s="22" t="b">
        <v>0</v>
      </c>
      <c r="P769" s="23" t="b">
        <v>0</v>
      </c>
    </row>
    <row r="770" hidden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1"/>
      <c r="M770" s="22" t="b">
        <v>0</v>
      </c>
      <c r="O770" s="22" t="b">
        <v>0</v>
      </c>
      <c r="P770" s="23" t="b">
        <v>0</v>
      </c>
    </row>
    <row r="771" hidden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1"/>
      <c r="M771" s="22" t="b">
        <v>0</v>
      </c>
      <c r="O771" s="22" t="b">
        <v>0</v>
      </c>
      <c r="P771" s="23" t="b">
        <v>0</v>
      </c>
    </row>
    <row r="772" hidden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1"/>
      <c r="M772" s="22" t="b">
        <v>0</v>
      </c>
      <c r="O772" s="22" t="b">
        <v>0</v>
      </c>
      <c r="P772" s="23" t="b">
        <v>0</v>
      </c>
    </row>
    <row r="773" hidden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1"/>
      <c r="M773" s="22" t="b">
        <v>0</v>
      </c>
      <c r="O773" s="22" t="b">
        <v>0</v>
      </c>
      <c r="P773" s="23" t="b">
        <v>0</v>
      </c>
    </row>
    <row r="774" hidden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1"/>
      <c r="M774" s="22" t="b">
        <v>0</v>
      </c>
      <c r="O774" s="22" t="b">
        <v>0</v>
      </c>
      <c r="P774" s="23" t="b">
        <v>0</v>
      </c>
    </row>
    <row r="775" hidden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1"/>
      <c r="M775" s="22" t="b">
        <v>0</v>
      </c>
      <c r="O775" s="22" t="b">
        <v>0</v>
      </c>
      <c r="P775" s="23" t="b">
        <v>0</v>
      </c>
    </row>
    <row r="776" hidden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1"/>
      <c r="M776" s="22" t="b">
        <v>0</v>
      </c>
      <c r="O776" s="22" t="b">
        <v>0</v>
      </c>
      <c r="P776" s="23" t="b">
        <v>0</v>
      </c>
    </row>
    <row r="777" hidden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1"/>
      <c r="M777" s="22" t="b">
        <v>0</v>
      </c>
      <c r="O777" s="22" t="b">
        <v>0</v>
      </c>
      <c r="P777" s="23" t="b">
        <v>0</v>
      </c>
    </row>
    <row r="778" hidden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1"/>
      <c r="M778" s="22" t="b">
        <v>0</v>
      </c>
      <c r="O778" s="22" t="b">
        <v>0</v>
      </c>
      <c r="P778" s="23" t="b">
        <v>0</v>
      </c>
    </row>
    <row r="779" hidden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1"/>
      <c r="M779" s="22" t="b">
        <v>0</v>
      </c>
      <c r="O779" s="22" t="b">
        <v>0</v>
      </c>
      <c r="P779" s="23" t="b">
        <v>0</v>
      </c>
    </row>
    <row r="780" hidden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1"/>
      <c r="M780" s="22" t="b">
        <v>0</v>
      </c>
      <c r="O780" s="22" t="b">
        <v>0</v>
      </c>
      <c r="P780" s="23" t="b">
        <v>0</v>
      </c>
    </row>
    <row r="781" hidden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1"/>
      <c r="M781" s="22" t="b">
        <v>0</v>
      </c>
      <c r="O781" s="22" t="b">
        <v>0</v>
      </c>
      <c r="P781" s="23" t="b">
        <v>0</v>
      </c>
    </row>
    <row r="782" hidden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1"/>
      <c r="M782" s="22" t="b">
        <v>0</v>
      </c>
      <c r="O782" s="22" t="b">
        <v>0</v>
      </c>
      <c r="P782" s="23" t="b">
        <v>0</v>
      </c>
    </row>
    <row r="783" hidden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1"/>
      <c r="M783" s="22" t="b">
        <v>0</v>
      </c>
      <c r="O783" s="22" t="b">
        <v>0</v>
      </c>
      <c r="P783" s="23" t="b">
        <v>0</v>
      </c>
    </row>
    <row r="784" hidden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1"/>
      <c r="M784" s="22" t="b">
        <v>0</v>
      </c>
      <c r="O784" s="22" t="b">
        <v>0</v>
      </c>
      <c r="P784" s="23" t="b">
        <v>0</v>
      </c>
    </row>
    <row r="785" hidden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1"/>
      <c r="M785" s="22" t="b">
        <v>0</v>
      </c>
      <c r="O785" s="22" t="b">
        <v>0</v>
      </c>
      <c r="P785" s="23" t="b">
        <v>0</v>
      </c>
    </row>
    <row r="786" hidden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1"/>
      <c r="M786" s="22" t="b">
        <v>0</v>
      </c>
      <c r="O786" s="22" t="b">
        <v>0</v>
      </c>
      <c r="P786" s="23" t="b">
        <v>0</v>
      </c>
    </row>
    <row r="787" hidden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1"/>
      <c r="M787" s="22" t="b">
        <v>0</v>
      </c>
      <c r="O787" s="22" t="b">
        <v>0</v>
      </c>
      <c r="P787" s="23" t="b">
        <v>0</v>
      </c>
    </row>
    <row r="788" hidden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1"/>
      <c r="M788" s="22" t="b">
        <v>0</v>
      </c>
      <c r="O788" s="22" t="b">
        <v>0</v>
      </c>
      <c r="P788" s="23" t="b">
        <v>0</v>
      </c>
    </row>
    <row r="789" hidden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1"/>
      <c r="M789" s="22" t="b">
        <v>0</v>
      </c>
      <c r="O789" s="22" t="b">
        <v>0</v>
      </c>
      <c r="P789" s="23" t="b">
        <v>0</v>
      </c>
    </row>
    <row r="790" hidden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1"/>
      <c r="M790" s="22" t="b">
        <v>0</v>
      </c>
      <c r="O790" s="22" t="b">
        <v>0</v>
      </c>
      <c r="P790" s="23" t="b">
        <v>0</v>
      </c>
    </row>
    <row r="791" hidden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1"/>
      <c r="M791" s="22" t="b">
        <v>0</v>
      </c>
      <c r="O791" s="22" t="b">
        <v>0</v>
      </c>
      <c r="P791" s="23" t="b">
        <v>0</v>
      </c>
    </row>
    <row r="792" hidden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1"/>
      <c r="M792" s="22" t="b">
        <v>0</v>
      </c>
      <c r="O792" s="22" t="b">
        <v>0</v>
      </c>
      <c r="P792" s="23" t="b">
        <v>0</v>
      </c>
    </row>
    <row r="793" hidden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1"/>
      <c r="M793" s="22" t="b">
        <v>0</v>
      </c>
      <c r="O793" s="22" t="b">
        <v>0</v>
      </c>
      <c r="P793" s="23" t="b">
        <v>0</v>
      </c>
    </row>
    <row r="794" hidden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1"/>
      <c r="M794" s="22" t="b">
        <v>0</v>
      </c>
      <c r="O794" s="22" t="b">
        <v>0</v>
      </c>
      <c r="P794" s="23" t="b">
        <v>0</v>
      </c>
    </row>
    <row r="795" hidden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1"/>
      <c r="M795" s="22" t="b">
        <v>0</v>
      </c>
      <c r="O795" s="22" t="b">
        <v>0</v>
      </c>
      <c r="P795" s="23" t="b">
        <v>0</v>
      </c>
    </row>
    <row r="796" hidden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1"/>
      <c r="M796" s="22" t="b">
        <v>0</v>
      </c>
      <c r="O796" s="22" t="b">
        <v>0</v>
      </c>
      <c r="P796" s="23" t="b">
        <v>0</v>
      </c>
    </row>
    <row r="797" hidden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1"/>
      <c r="M797" s="22" t="b">
        <v>0</v>
      </c>
      <c r="O797" s="22" t="b">
        <v>0</v>
      </c>
      <c r="P797" s="23" t="b">
        <v>0</v>
      </c>
    </row>
    <row r="798" hidden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1"/>
      <c r="M798" s="22" t="b">
        <v>0</v>
      </c>
      <c r="O798" s="22" t="b">
        <v>0</v>
      </c>
      <c r="P798" s="23" t="b">
        <v>0</v>
      </c>
    </row>
    <row r="799" hidden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1"/>
      <c r="M799" s="22" t="b">
        <v>0</v>
      </c>
      <c r="O799" s="22" t="b">
        <v>0</v>
      </c>
      <c r="P799" s="23" t="b">
        <v>0</v>
      </c>
    </row>
    <row r="800" hidden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1"/>
      <c r="M800" s="22" t="b">
        <v>0</v>
      </c>
      <c r="O800" s="22" t="b">
        <v>0</v>
      </c>
      <c r="P800" s="23" t="b">
        <v>0</v>
      </c>
    </row>
    <row r="801" hidden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1"/>
      <c r="M801" s="22" t="b">
        <v>0</v>
      </c>
      <c r="O801" s="22" t="b">
        <v>0</v>
      </c>
      <c r="P801" s="23" t="b">
        <v>0</v>
      </c>
    </row>
    <row r="802" hidden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1"/>
      <c r="M802" s="22" t="b">
        <v>0</v>
      </c>
      <c r="O802" s="22" t="b">
        <v>0</v>
      </c>
      <c r="P802" s="23" t="b">
        <v>0</v>
      </c>
    </row>
    <row r="803" hidden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1"/>
      <c r="M803" s="22" t="b">
        <v>0</v>
      </c>
      <c r="O803" s="22" t="b">
        <v>0</v>
      </c>
      <c r="P803" s="23" t="b">
        <v>0</v>
      </c>
    </row>
    <row r="804" hidden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1"/>
      <c r="M804" s="22" t="b">
        <v>0</v>
      </c>
      <c r="O804" s="22" t="b">
        <v>0</v>
      </c>
      <c r="P804" s="23" t="b">
        <v>0</v>
      </c>
    </row>
    <row r="805" hidden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1"/>
      <c r="M805" s="22" t="b">
        <v>0</v>
      </c>
      <c r="O805" s="22" t="b">
        <v>0</v>
      </c>
      <c r="P805" s="23" t="b">
        <v>0</v>
      </c>
    </row>
    <row r="806" hidden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1"/>
      <c r="M806" s="22" t="b">
        <v>0</v>
      </c>
      <c r="O806" s="22" t="b">
        <v>0</v>
      </c>
      <c r="P806" s="23" t="b">
        <v>0</v>
      </c>
    </row>
    <row r="807" hidden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1"/>
      <c r="M807" s="22" t="b">
        <v>0</v>
      </c>
      <c r="O807" s="22" t="b">
        <v>0</v>
      </c>
      <c r="P807" s="23" t="b">
        <v>0</v>
      </c>
    </row>
    <row r="808" hidden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1"/>
      <c r="M808" s="22" t="b">
        <v>0</v>
      </c>
      <c r="O808" s="22" t="b">
        <v>0</v>
      </c>
      <c r="P808" s="23" t="b">
        <v>0</v>
      </c>
    </row>
    <row r="809" hidden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1"/>
      <c r="M809" s="22" t="b">
        <v>0</v>
      </c>
      <c r="O809" s="22" t="b">
        <v>0</v>
      </c>
      <c r="P809" s="23" t="b">
        <v>0</v>
      </c>
    </row>
    <row r="810" hidden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1"/>
      <c r="M810" s="22" t="b">
        <v>0</v>
      </c>
      <c r="O810" s="22" t="b">
        <v>0</v>
      </c>
      <c r="P810" s="23" t="b">
        <v>0</v>
      </c>
    </row>
    <row r="811" hidden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1"/>
      <c r="M811" s="22" t="b">
        <v>0</v>
      </c>
      <c r="O811" s="22" t="b">
        <v>0</v>
      </c>
      <c r="P811" s="23" t="b">
        <v>0</v>
      </c>
    </row>
    <row r="812" hidden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1"/>
      <c r="M812" s="22" t="b">
        <v>0</v>
      </c>
      <c r="O812" s="22" t="b">
        <v>0</v>
      </c>
      <c r="P812" s="23" t="b">
        <v>0</v>
      </c>
    </row>
    <row r="813" hidden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1"/>
      <c r="M813" s="22" t="b">
        <v>0</v>
      </c>
      <c r="O813" s="22" t="b">
        <v>0</v>
      </c>
      <c r="P813" s="23" t="b">
        <v>0</v>
      </c>
    </row>
    <row r="814" hidden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1"/>
      <c r="M814" s="22" t="b">
        <v>0</v>
      </c>
      <c r="O814" s="22" t="b">
        <v>0</v>
      </c>
      <c r="P814" s="23" t="b">
        <v>0</v>
      </c>
    </row>
    <row r="815" hidden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1"/>
      <c r="M815" s="22" t="b">
        <v>0</v>
      </c>
      <c r="O815" s="22" t="b">
        <v>0</v>
      </c>
      <c r="P815" s="23" t="b">
        <v>0</v>
      </c>
    </row>
    <row r="816" hidden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1"/>
      <c r="M816" s="22" t="b">
        <v>0</v>
      </c>
      <c r="O816" s="22" t="b">
        <v>0</v>
      </c>
      <c r="P816" s="23" t="b">
        <v>0</v>
      </c>
    </row>
    <row r="817" hidden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1"/>
      <c r="M817" s="22" t="b">
        <v>0</v>
      </c>
      <c r="O817" s="22" t="b">
        <v>0</v>
      </c>
      <c r="P817" s="23" t="b">
        <v>0</v>
      </c>
    </row>
    <row r="818" hidden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1"/>
      <c r="M818" s="22" t="b">
        <v>0</v>
      </c>
      <c r="O818" s="22" t="b">
        <v>0</v>
      </c>
      <c r="P818" s="23" t="b">
        <v>0</v>
      </c>
    </row>
    <row r="819" hidden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1"/>
      <c r="M819" s="22" t="b">
        <v>0</v>
      </c>
      <c r="O819" s="22" t="b">
        <v>0</v>
      </c>
      <c r="P819" s="23" t="b">
        <v>0</v>
      </c>
    </row>
    <row r="820" hidden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1"/>
      <c r="M820" s="22" t="b">
        <v>0</v>
      </c>
      <c r="O820" s="22" t="b">
        <v>0</v>
      </c>
      <c r="P820" s="23" t="b">
        <v>0</v>
      </c>
    </row>
    <row r="821" hidden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1"/>
      <c r="M821" s="22" t="b">
        <v>0</v>
      </c>
      <c r="O821" s="22" t="b">
        <v>0</v>
      </c>
      <c r="P821" s="23" t="b">
        <v>0</v>
      </c>
    </row>
    <row r="822" hidden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1"/>
      <c r="M822" s="22" t="b">
        <v>0</v>
      </c>
      <c r="O822" s="22" t="b">
        <v>0</v>
      </c>
      <c r="P822" s="23" t="b">
        <v>0</v>
      </c>
    </row>
    <row r="823" hidden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1"/>
      <c r="M823" s="22" t="b">
        <v>0</v>
      </c>
      <c r="O823" s="22" t="b">
        <v>0</v>
      </c>
      <c r="P823" s="23" t="b">
        <v>0</v>
      </c>
    </row>
    <row r="824" hidden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1"/>
      <c r="M824" s="22" t="b">
        <v>0</v>
      </c>
      <c r="O824" s="22" t="b">
        <v>0</v>
      </c>
      <c r="P824" s="23" t="b">
        <v>0</v>
      </c>
    </row>
    <row r="825" hidden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1"/>
      <c r="M825" s="22" t="b">
        <v>0</v>
      </c>
      <c r="O825" s="22" t="b">
        <v>0</v>
      </c>
      <c r="P825" s="23" t="b">
        <v>0</v>
      </c>
    </row>
    <row r="826" hidden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1"/>
      <c r="M826" s="22" t="b">
        <v>0</v>
      </c>
      <c r="O826" s="22" t="b">
        <v>0</v>
      </c>
      <c r="P826" s="23" t="b">
        <v>0</v>
      </c>
    </row>
    <row r="827" hidden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1"/>
      <c r="M827" s="22" t="b">
        <v>0</v>
      </c>
      <c r="O827" s="22" t="b">
        <v>0</v>
      </c>
      <c r="P827" s="23" t="b">
        <v>0</v>
      </c>
    </row>
    <row r="828" hidden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1"/>
      <c r="M828" s="22" t="b">
        <v>0</v>
      </c>
      <c r="O828" s="22" t="b">
        <v>0</v>
      </c>
      <c r="P828" s="23" t="b">
        <v>0</v>
      </c>
    </row>
    <row r="829" hidden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1"/>
      <c r="M829" s="22" t="b">
        <v>0</v>
      </c>
      <c r="O829" s="22" t="b">
        <v>0</v>
      </c>
      <c r="P829" s="23" t="b">
        <v>0</v>
      </c>
    </row>
    <row r="830" hidden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1"/>
      <c r="M830" s="22" t="b">
        <v>0</v>
      </c>
      <c r="O830" s="22" t="b">
        <v>0</v>
      </c>
      <c r="P830" s="23" t="b">
        <v>0</v>
      </c>
    </row>
    <row r="831" hidden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1"/>
      <c r="M831" s="22" t="b">
        <v>0</v>
      </c>
      <c r="O831" s="22" t="b">
        <v>0</v>
      </c>
      <c r="P831" s="23" t="b">
        <v>0</v>
      </c>
    </row>
    <row r="832" hidden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1"/>
      <c r="M832" s="22" t="b">
        <v>0</v>
      </c>
      <c r="O832" s="22" t="b">
        <v>0</v>
      </c>
      <c r="P832" s="23" t="b">
        <v>0</v>
      </c>
    </row>
    <row r="833" hidden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1"/>
      <c r="M833" s="22" t="b">
        <v>0</v>
      </c>
      <c r="O833" s="22" t="b">
        <v>0</v>
      </c>
      <c r="P833" s="23" t="b">
        <v>0</v>
      </c>
    </row>
    <row r="834" hidden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1"/>
      <c r="M834" s="22" t="b">
        <v>0</v>
      </c>
      <c r="O834" s="22" t="b">
        <v>0</v>
      </c>
      <c r="P834" s="23" t="b">
        <v>0</v>
      </c>
    </row>
    <row r="835" hidden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1"/>
      <c r="M835" s="22" t="b">
        <v>0</v>
      </c>
      <c r="O835" s="22" t="b">
        <v>0</v>
      </c>
      <c r="P835" s="23" t="b">
        <v>0</v>
      </c>
    </row>
    <row r="836" hidden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1"/>
      <c r="M836" s="22" t="b">
        <v>0</v>
      </c>
      <c r="O836" s="22" t="b">
        <v>0</v>
      </c>
      <c r="P836" s="23" t="b">
        <v>0</v>
      </c>
    </row>
    <row r="837" hidden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1"/>
      <c r="M837" s="22" t="b">
        <v>0</v>
      </c>
      <c r="O837" s="22" t="b">
        <v>0</v>
      </c>
      <c r="P837" s="23" t="b">
        <v>0</v>
      </c>
    </row>
    <row r="838" hidden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1"/>
      <c r="M838" s="22" t="b">
        <v>0</v>
      </c>
      <c r="O838" s="22" t="b">
        <v>0</v>
      </c>
      <c r="P838" s="23" t="b">
        <v>0</v>
      </c>
    </row>
    <row r="839" hidden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1"/>
      <c r="M839" s="22" t="b">
        <v>0</v>
      </c>
      <c r="O839" s="22" t="b">
        <v>0</v>
      </c>
      <c r="P839" s="23" t="b">
        <v>0</v>
      </c>
    </row>
    <row r="840" hidden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1"/>
      <c r="M840" s="22" t="b">
        <v>0</v>
      </c>
      <c r="O840" s="22" t="b">
        <v>0</v>
      </c>
      <c r="P840" s="23" t="b">
        <v>0</v>
      </c>
    </row>
    <row r="841" hidden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1"/>
      <c r="M841" s="22" t="b">
        <v>0</v>
      </c>
      <c r="O841" s="22" t="b">
        <v>0</v>
      </c>
      <c r="P841" s="23" t="b">
        <v>0</v>
      </c>
    </row>
    <row r="842" hidden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1"/>
      <c r="M842" s="22" t="b">
        <v>0</v>
      </c>
      <c r="O842" s="22" t="b">
        <v>0</v>
      </c>
      <c r="P842" s="23" t="b">
        <v>0</v>
      </c>
    </row>
    <row r="843" hidden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1"/>
      <c r="M843" s="22" t="b">
        <v>0</v>
      </c>
      <c r="O843" s="22" t="b">
        <v>0</v>
      </c>
      <c r="P843" s="23" t="b">
        <v>0</v>
      </c>
    </row>
    <row r="844" hidden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1"/>
      <c r="M844" s="22" t="b">
        <v>0</v>
      </c>
      <c r="O844" s="22" t="b">
        <v>0</v>
      </c>
      <c r="P844" s="23" t="b">
        <v>0</v>
      </c>
    </row>
    <row r="845" hidden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1"/>
      <c r="M845" s="22" t="b">
        <v>0</v>
      </c>
      <c r="O845" s="22" t="b">
        <v>0</v>
      </c>
      <c r="P845" s="23" t="b">
        <v>0</v>
      </c>
    </row>
    <row r="846" hidden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1"/>
      <c r="M846" s="22" t="b">
        <v>0</v>
      </c>
      <c r="O846" s="22" t="b">
        <v>0</v>
      </c>
      <c r="P846" s="23" t="b">
        <v>0</v>
      </c>
    </row>
    <row r="847" hidden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1"/>
      <c r="M847" s="22" t="b">
        <v>0</v>
      </c>
      <c r="O847" s="22" t="b">
        <v>0</v>
      </c>
      <c r="P847" s="23" t="b">
        <v>0</v>
      </c>
    </row>
    <row r="848" hidden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1"/>
      <c r="M848" s="22" t="b">
        <v>0</v>
      </c>
      <c r="O848" s="22" t="b">
        <v>0</v>
      </c>
      <c r="P848" s="23" t="b">
        <v>0</v>
      </c>
    </row>
    <row r="849" hidden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1"/>
      <c r="M849" s="22" t="b">
        <v>0</v>
      </c>
      <c r="O849" s="22" t="b">
        <v>0</v>
      </c>
      <c r="P849" s="23" t="b">
        <v>0</v>
      </c>
    </row>
    <row r="850" hidden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1"/>
      <c r="M850" s="22" t="b">
        <v>0</v>
      </c>
      <c r="O850" s="22" t="b">
        <v>0</v>
      </c>
      <c r="P850" s="23" t="b">
        <v>0</v>
      </c>
    </row>
    <row r="851" hidden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1"/>
      <c r="M851" s="22" t="b">
        <v>0</v>
      </c>
      <c r="O851" s="22" t="b">
        <v>0</v>
      </c>
      <c r="P851" s="23" t="b">
        <v>0</v>
      </c>
    </row>
    <row r="852" hidden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1"/>
      <c r="M852" s="22" t="b">
        <v>0</v>
      </c>
      <c r="O852" s="22" t="b">
        <v>0</v>
      </c>
      <c r="P852" s="23" t="b">
        <v>0</v>
      </c>
    </row>
    <row r="853" hidden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1"/>
      <c r="M853" s="22" t="b">
        <v>0</v>
      </c>
      <c r="O853" s="22" t="b">
        <v>0</v>
      </c>
      <c r="P853" s="23" t="b">
        <v>0</v>
      </c>
    </row>
    <row r="854" hidden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1"/>
      <c r="M854" s="22" t="b">
        <v>0</v>
      </c>
      <c r="O854" s="22" t="b">
        <v>0</v>
      </c>
      <c r="P854" s="23" t="b">
        <v>0</v>
      </c>
    </row>
    <row r="855" hidden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1"/>
      <c r="M855" s="22" t="b">
        <v>0</v>
      </c>
      <c r="O855" s="22" t="b">
        <v>0</v>
      </c>
      <c r="P855" s="23" t="b">
        <v>0</v>
      </c>
    </row>
    <row r="856" hidden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1"/>
      <c r="M856" s="22" t="b">
        <v>0</v>
      </c>
      <c r="O856" s="22" t="b">
        <v>0</v>
      </c>
      <c r="P856" s="23" t="b">
        <v>0</v>
      </c>
    </row>
    <row r="857" hidden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1"/>
      <c r="M857" s="22" t="b">
        <v>0</v>
      </c>
      <c r="O857" s="22" t="b">
        <v>0</v>
      </c>
      <c r="P857" s="23" t="b">
        <v>0</v>
      </c>
    </row>
    <row r="858" hidden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1"/>
      <c r="M858" s="22" t="b">
        <v>0</v>
      </c>
      <c r="O858" s="22" t="b">
        <v>0</v>
      </c>
      <c r="P858" s="23" t="b">
        <v>0</v>
      </c>
    </row>
    <row r="859" hidden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1"/>
      <c r="M859" s="22" t="b">
        <v>0</v>
      </c>
      <c r="O859" s="22" t="b">
        <v>0</v>
      </c>
      <c r="P859" s="23" t="b">
        <v>0</v>
      </c>
    </row>
    <row r="860" hidden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1"/>
      <c r="M860" s="22" t="b">
        <v>0</v>
      </c>
      <c r="O860" s="22" t="b">
        <v>0</v>
      </c>
      <c r="P860" s="23" t="b">
        <v>0</v>
      </c>
    </row>
    <row r="861" hidden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1"/>
      <c r="M861" s="22" t="b">
        <v>0</v>
      </c>
      <c r="O861" s="22" t="b">
        <v>0</v>
      </c>
      <c r="P861" s="23" t="b">
        <v>0</v>
      </c>
    </row>
    <row r="862" hidden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1"/>
      <c r="M862" s="22" t="b">
        <v>0</v>
      </c>
      <c r="O862" s="22" t="b">
        <v>0</v>
      </c>
      <c r="P862" s="23" t="b">
        <v>0</v>
      </c>
    </row>
    <row r="863" hidden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1"/>
      <c r="M863" s="22" t="b">
        <v>0</v>
      </c>
      <c r="O863" s="22" t="b">
        <v>0</v>
      </c>
      <c r="P863" s="23" t="b">
        <v>0</v>
      </c>
    </row>
    <row r="864" hidden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1"/>
      <c r="M864" s="22" t="b">
        <v>0</v>
      </c>
      <c r="O864" s="22" t="b">
        <v>0</v>
      </c>
      <c r="P864" s="23" t="b">
        <v>0</v>
      </c>
    </row>
    <row r="865" hidden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1"/>
      <c r="M865" s="22" t="b">
        <v>0</v>
      </c>
      <c r="O865" s="22" t="b">
        <v>0</v>
      </c>
      <c r="P865" s="23" t="b">
        <v>0</v>
      </c>
    </row>
    <row r="866" hidden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1"/>
      <c r="M866" s="22" t="b">
        <v>0</v>
      </c>
      <c r="O866" s="22" t="b">
        <v>0</v>
      </c>
      <c r="P866" s="23" t="b">
        <v>0</v>
      </c>
    </row>
    <row r="867" hidden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1"/>
      <c r="M867" s="22" t="b">
        <v>0</v>
      </c>
      <c r="O867" s="22" t="b">
        <v>0</v>
      </c>
      <c r="P867" s="23" t="b">
        <v>0</v>
      </c>
    </row>
    <row r="868" hidden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1"/>
      <c r="M868" s="22" t="b">
        <v>0</v>
      </c>
      <c r="O868" s="22" t="b">
        <v>0</v>
      </c>
      <c r="P868" s="23" t="b">
        <v>0</v>
      </c>
    </row>
    <row r="869" hidden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1"/>
      <c r="M869" s="22" t="b">
        <v>0</v>
      </c>
      <c r="O869" s="22" t="b">
        <v>0</v>
      </c>
      <c r="P869" s="23" t="b">
        <v>0</v>
      </c>
    </row>
    <row r="870" hidden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1"/>
      <c r="M870" s="22" t="b">
        <v>0</v>
      </c>
      <c r="O870" s="22" t="b">
        <v>0</v>
      </c>
      <c r="P870" s="23" t="b">
        <v>0</v>
      </c>
    </row>
    <row r="871" hidden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1"/>
      <c r="M871" s="22" t="b">
        <v>0</v>
      </c>
      <c r="O871" s="22" t="b">
        <v>0</v>
      </c>
      <c r="P871" s="23" t="b">
        <v>0</v>
      </c>
    </row>
    <row r="872" hidden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1"/>
      <c r="M872" s="22" t="b">
        <v>0</v>
      </c>
      <c r="O872" s="22" t="b">
        <v>0</v>
      </c>
      <c r="P872" s="23" t="b">
        <v>0</v>
      </c>
    </row>
    <row r="873" hidden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1"/>
      <c r="M873" s="22" t="b">
        <v>0</v>
      </c>
      <c r="O873" s="22" t="b">
        <v>0</v>
      </c>
      <c r="P873" s="23" t="b">
        <v>0</v>
      </c>
    </row>
    <row r="874" hidden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1"/>
      <c r="M874" s="22" t="b">
        <v>0</v>
      </c>
      <c r="O874" s="22" t="b">
        <v>0</v>
      </c>
      <c r="P874" s="23" t="b">
        <v>0</v>
      </c>
    </row>
    <row r="875" hidden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1"/>
      <c r="M875" s="22" t="b">
        <v>0</v>
      </c>
      <c r="O875" s="22" t="b">
        <v>0</v>
      </c>
      <c r="P875" s="23" t="b">
        <v>0</v>
      </c>
    </row>
    <row r="876" hidden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1"/>
      <c r="M876" s="22" t="b">
        <v>0</v>
      </c>
      <c r="O876" s="22" t="b">
        <v>0</v>
      </c>
      <c r="P876" s="23" t="b">
        <v>0</v>
      </c>
    </row>
    <row r="877" hidden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1"/>
      <c r="M877" s="22" t="b">
        <v>0</v>
      </c>
      <c r="O877" s="22" t="b">
        <v>0</v>
      </c>
      <c r="P877" s="23" t="b">
        <v>0</v>
      </c>
    </row>
    <row r="878" hidden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1"/>
      <c r="M878" s="22" t="b">
        <v>0</v>
      </c>
      <c r="O878" s="22" t="b">
        <v>0</v>
      </c>
      <c r="P878" s="23" t="b">
        <v>0</v>
      </c>
    </row>
    <row r="879" hidden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1"/>
      <c r="M879" s="22" t="b">
        <v>0</v>
      </c>
      <c r="O879" s="22" t="b">
        <v>0</v>
      </c>
      <c r="P879" s="23" t="b">
        <v>0</v>
      </c>
    </row>
    <row r="880" hidden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1"/>
      <c r="M880" s="22" t="b">
        <v>0</v>
      </c>
      <c r="O880" s="22" t="b">
        <v>0</v>
      </c>
      <c r="P880" s="23" t="b">
        <v>0</v>
      </c>
    </row>
    <row r="881" hidden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1"/>
      <c r="M881" s="22" t="b">
        <v>0</v>
      </c>
      <c r="O881" s="22" t="b">
        <v>0</v>
      </c>
      <c r="P881" s="23" t="b">
        <v>0</v>
      </c>
    </row>
    <row r="882" hidden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1"/>
      <c r="M882" s="22" t="b">
        <v>0</v>
      </c>
      <c r="O882" s="22" t="b">
        <v>0</v>
      </c>
      <c r="P882" s="23" t="b">
        <v>0</v>
      </c>
    </row>
    <row r="883" hidden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1"/>
      <c r="M883" s="22" t="b">
        <v>0</v>
      </c>
      <c r="O883" s="22" t="b">
        <v>0</v>
      </c>
      <c r="P883" s="23" t="b">
        <v>0</v>
      </c>
    </row>
    <row r="884" hidden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1"/>
      <c r="M884" s="22" t="b">
        <v>0</v>
      </c>
      <c r="O884" s="22" t="b">
        <v>0</v>
      </c>
      <c r="P884" s="23" t="b">
        <v>0</v>
      </c>
    </row>
    <row r="885" hidden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1"/>
      <c r="M885" s="22" t="b">
        <v>0</v>
      </c>
      <c r="O885" s="22" t="b">
        <v>0</v>
      </c>
      <c r="P885" s="23" t="b">
        <v>0</v>
      </c>
    </row>
    <row r="886" hidden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1"/>
      <c r="M886" s="22" t="b">
        <v>0</v>
      </c>
      <c r="O886" s="22" t="b">
        <v>0</v>
      </c>
      <c r="P886" s="23" t="b">
        <v>0</v>
      </c>
    </row>
    <row r="887" hidden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1"/>
      <c r="M887" s="22" t="b">
        <v>0</v>
      </c>
      <c r="O887" s="22" t="b">
        <v>0</v>
      </c>
      <c r="P887" s="23" t="b">
        <v>0</v>
      </c>
    </row>
    <row r="888" hidden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1"/>
      <c r="M888" s="22" t="b">
        <v>0</v>
      </c>
      <c r="O888" s="22" t="b">
        <v>0</v>
      </c>
      <c r="P888" s="23" t="b">
        <v>0</v>
      </c>
    </row>
    <row r="889" hidden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1"/>
      <c r="M889" s="22" t="b">
        <v>0</v>
      </c>
      <c r="O889" s="22" t="b">
        <v>0</v>
      </c>
      <c r="P889" s="23" t="b">
        <v>0</v>
      </c>
    </row>
    <row r="890" hidden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1"/>
      <c r="M890" s="22" t="b">
        <v>0</v>
      </c>
      <c r="O890" s="22" t="b">
        <v>0</v>
      </c>
      <c r="P890" s="23" t="b">
        <v>0</v>
      </c>
    </row>
    <row r="891" hidden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1"/>
      <c r="M891" s="22" t="b">
        <v>0</v>
      </c>
      <c r="O891" s="22" t="b">
        <v>0</v>
      </c>
      <c r="P891" s="23" t="b">
        <v>0</v>
      </c>
    </row>
    <row r="892" hidden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1"/>
      <c r="M892" s="22" t="b">
        <v>0</v>
      </c>
      <c r="O892" s="22" t="b">
        <v>0</v>
      </c>
      <c r="P892" s="23" t="b">
        <v>0</v>
      </c>
    </row>
    <row r="893" hidden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1"/>
      <c r="M893" s="22" t="b">
        <v>0</v>
      </c>
      <c r="O893" s="22" t="b">
        <v>0</v>
      </c>
      <c r="P893" s="23" t="b">
        <v>0</v>
      </c>
    </row>
    <row r="894" hidden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1"/>
      <c r="M894" s="22" t="b">
        <v>0</v>
      </c>
      <c r="O894" s="22" t="b">
        <v>0</v>
      </c>
      <c r="P894" s="23" t="b">
        <v>0</v>
      </c>
    </row>
    <row r="895" hidden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1"/>
      <c r="M895" s="22" t="b">
        <v>0</v>
      </c>
      <c r="O895" s="22" t="b">
        <v>0</v>
      </c>
      <c r="P895" s="23" t="b">
        <v>0</v>
      </c>
    </row>
    <row r="896" hidden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1"/>
      <c r="M896" s="22" t="b">
        <v>0</v>
      </c>
      <c r="O896" s="22" t="b">
        <v>0</v>
      </c>
      <c r="P896" s="23" t="b">
        <v>0</v>
      </c>
    </row>
    <row r="897" hidden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1"/>
      <c r="M897" s="22" t="b">
        <v>0</v>
      </c>
      <c r="O897" s="22" t="b">
        <v>0</v>
      </c>
      <c r="P897" s="23" t="b">
        <v>0</v>
      </c>
    </row>
    <row r="898" hidden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1"/>
      <c r="M898" s="22" t="b">
        <v>0</v>
      </c>
      <c r="O898" s="22" t="b">
        <v>0</v>
      </c>
      <c r="P898" s="23" t="b">
        <v>0</v>
      </c>
    </row>
    <row r="899" hidden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1"/>
      <c r="M899" s="22" t="b">
        <v>0</v>
      </c>
      <c r="O899" s="22" t="b">
        <v>0</v>
      </c>
      <c r="P899" s="23" t="b">
        <v>0</v>
      </c>
    </row>
    <row r="900" hidden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1"/>
      <c r="M900" s="22" t="b">
        <v>0</v>
      </c>
      <c r="O900" s="22" t="b">
        <v>0</v>
      </c>
      <c r="P900" s="23" t="b">
        <v>0</v>
      </c>
    </row>
    <row r="901" hidden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1"/>
      <c r="M901" s="22" t="b">
        <v>0</v>
      </c>
      <c r="O901" s="22" t="b">
        <v>0</v>
      </c>
      <c r="P901" s="23" t="b">
        <v>0</v>
      </c>
    </row>
    <row r="902" hidden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1"/>
      <c r="M902" s="22" t="b">
        <v>0</v>
      </c>
      <c r="O902" s="22" t="b">
        <v>0</v>
      </c>
      <c r="P902" s="23" t="b">
        <v>0</v>
      </c>
    </row>
    <row r="903" hidden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1"/>
      <c r="M903" s="22" t="b">
        <v>0</v>
      </c>
      <c r="O903" s="22" t="b">
        <v>0</v>
      </c>
      <c r="P903" s="23" t="b">
        <v>0</v>
      </c>
    </row>
    <row r="904" hidden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1"/>
      <c r="M904" s="22" t="b">
        <v>0</v>
      </c>
      <c r="O904" s="22" t="b">
        <v>0</v>
      </c>
      <c r="P904" s="23" t="b">
        <v>0</v>
      </c>
    </row>
    <row r="905" hidden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1"/>
      <c r="M905" s="22" t="b">
        <v>0</v>
      </c>
      <c r="O905" s="22" t="b">
        <v>0</v>
      </c>
      <c r="P905" s="23" t="b">
        <v>0</v>
      </c>
    </row>
    <row r="906" hidden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1"/>
      <c r="M906" s="22" t="b">
        <v>0</v>
      </c>
      <c r="O906" s="22" t="b">
        <v>0</v>
      </c>
      <c r="P906" s="23" t="b">
        <v>0</v>
      </c>
    </row>
    <row r="907" hidden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1"/>
      <c r="M907" s="22" t="b">
        <v>0</v>
      </c>
      <c r="O907" s="22" t="b">
        <v>0</v>
      </c>
      <c r="P907" s="23" t="b">
        <v>0</v>
      </c>
    </row>
    <row r="908" hidden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1"/>
      <c r="M908" s="22" t="b">
        <v>0</v>
      </c>
      <c r="O908" s="22" t="b">
        <v>0</v>
      </c>
      <c r="P908" s="23" t="b">
        <v>0</v>
      </c>
    </row>
    <row r="909" hidden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1"/>
      <c r="M909" s="22" t="b">
        <v>0</v>
      </c>
      <c r="O909" s="22" t="b">
        <v>0</v>
      </c>
      <c r="P909" s="23" t="b">
        <v>0</v>
      </c>
    </row>
    <row r="910" hidden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1"/>
      <c r="M910" s="22" t="b">
        <v>0</v>
      </c>
      <c r="O910" s="22" t="b">
        <v>0</v>
      </c>
      <c r="P910" s="23" t="b">
        <v>0</v>
      </c>
    </row>
    <row r="911" hidden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1"/>
      <c r="M911" s="22" t="b">
        <v>0</v>
      </c>
      <c r="O911" s="22" t="b">
        <v>0</v>
      </c>
      <c r="P911" s="23" t="b">
        <v>0</v>
      </c>
    </row>
    <row r="912" hidden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1"/>
      <c r="M912" s="22" t="b">
        <v>0</v>
      </c>
      <c r="O912" s="22" t="b">
        <v>0</v>
      </c>
      <c r="P912" s="23" t="b">
        <v>0</v>
      </c>
    </row>
    <row r="913" hidden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1"/>
      <c r="M913" s="22" t="b">
        <v>0</v>
      </c>
      <c r="O913" s="22" t="b">
        <v>0</v>
      </c>
      <c r="P913" s="23" t="b">
        <v>0</v>
      </c>
    </row>
    <row r="914" hidden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1"/>
      <c r="M914" s="22" t="b">
        <v>0</v>
      </c>
      <c r="O914" s="22" t="b">
        <v>0</v>
      </c>
      <c r="P914" s="23" t="b">
        <v>0</v>
      </c>
    </row>
    <row r="915" hidden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1"/>
      <c r="M915" s="22" t="b">
        <v>0</v>
      </c>
      <c r="O915" s="22" t="b">
        <v>0</v>
      </c>
      <c r="P915" s="23" t="b">
        <v>0</v>
      </c>
    </row>
    <row r="916" hidden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1"/>
      <c r="M916" s="22" t="b">
        <v>0</v>
      </c>
      <c r="O916" s="22" t="b">
        <v>0</v>
      </c>
      <c r="P916" s="23" t="b">
        <v>0</v>
      </c>
    </row>
    <row r="917" hidden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1"/>
      <c r="M917" s="22" t="b">
        <v>0</v>
      </c>
      <c r="O917" s="22" t="b">
        <v>0</v>
      </c>
      <c r="P917" s="23" t="b">
        <v>0</v>
      </c>
    </row>
    <row r="918" hidden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1"/>
      <c r="M918" s="22" t="b">
        <v>0</v>
      </c>
      <c r="O918" s="22" t="b">
        <v>0</v>
      </c>
      <c r="P918" s="23" t="b">
        <v>0</v>
      </c>
    </row>
    <row r="919" hidden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1"/>
      <c r="M919" s="22" t="b">
        <v>0</v>
      </c>
      <c r="O919" s="22" t="b">
        <v>0</v>
      </c>
      <c r="P919" s="23" t="b">
        <v>0</v>
      </c>
    </row>
    <row r="920" hidden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1"/>
      <c r="M920" s="22" t="b">
        <v>0</v>
      </c>
      <c r="O920" s="22" t="b">
        <v>0</v>
      </c>
      <c r="P920" s="23" t="b">
        <v>0</v>
      </c>
    </row>
    <row r="921" hidden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1"/>
      <c r="M921" s="22" t="b">
        <v>0</v>
      </c>
      <c r="O921" s="22" t="b">
        <v>0</v>
      </c>
      <c r="P921" s="23" t="b">
        <v>0</v>
      </c>
    </row>
    <row r="922" hidden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1"/>
      <c r="M922" s="22" t="b">
        <v>0</v>
      </c>
      <c r="O922" s="22" t="b">
        <v>0</v>
      </c>
      <c r="P922" s="23" t="b">
        <v>0</v>
      </c>
    </row>
    <row r="923" hidden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1"/>
      <c r="M923" s="22" t="b">
        <v>0</v>
      </c>
      <c r="O923" s="22" t="b">
        <v>0</v>
      </c>
      <c r="P923" s="23" t="b">
        <v>0</v>
      </c>
    </row>
    <row r="924" hidden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1"/>
      <c r="M924" s="22" t="b">
        <v>0</v>
      </c>
      <c r="O924" s="22" t="b">
        <v>0</v>
      </c>
      <c r="P924" s="23" t="b">
        <v>0</v>
      </c>
    </row>
    <row r="925" hidden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1"/>
      <c r="M925" s="22" t="b">
        <v>0</v>
      </c>
      <c r="O925" s="22" t="b">
        <v>0</v>
      </c>
      <c r="P925" s="23" t="b">
        <v>0</v>
      </c>
    </row>
    <row r="926" hidden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1"/>
      <c r="M926" s="22" t="b">
        <v>0</v>
      </c>
      <c r="O926" s="22" t="b">
        <v>0</v>
      </c>
      <c r="P926" s="23" t="b">
        <v>0</v>
      </c>
    </row>
    <row r="927" hidden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1"/>
      <c r="M927" s="22" t="b">
        <v>0</v>
      </c>
      <c r="O927" s="22" t="b">
        <v>0</v>
      </c>
      <c r="P927" s="23" t="b">
        <v>0</v>
      </c>
    </row>
    <row r="928" hidden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1"/>
      <c r="M928" s="22" t="b">
        <v>0</v>
      </c>
      <c r="O928" s="22" t="b">
        <v>0</v>
      </c>
      <c r="P928" s="23" t="b">
        <v>0</v>
      </c>
    </row>
    <row r="929" hidden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1"/>
      <c r="M929" s="22" t="b">
        <v>0</v>
      </c>
      <c r="O929" s="22" t="b">
        <v>0</v>
      </c>
      <c r="P929" s="23" t="b">
        <v>0</v>
      </c>
    </row>
    <row r="930" hidden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1"/>
      <c r="M930" s="22" t="b">
        <v>0</v>
      </c>
      <c r="O930" s="22" t="b">
        <v>0</v>
      </c>
      <c r="P930" s="23" t="b">
        <v>0</v>
      </c>
    </row>
    <row r="931" hidden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1"/>
      <c r="M931" s="22" t="b">
        <v>0</v>
      </c>
      <c r="O931" s="22" t="b">
        <v>0</v>
      </c>
      <c r="P931" s="23" t="b">
        <v>0</v>
      </c>
    </row>
    <row r="932" hidden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1"/>
      <c r="M932" s="22" t="b">
        <v>0</v>
      </c>
      <c r="O932" s="22" t="b">
        <v>0</v>
      </c>
      <c r="P932" s="23" t="b">
        <v>0</v>
      </c>
    </row>
    <row r="933" hidden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1"/>
      <c r="M933" s="22" t="b">
        <v>0</v>
      </c>
      <c r="O933" s="22" t="b">
        <v>0</v>
      </c>
      <c r="P933" s="23" t="b">
        <v>0</v>
      </c>
    </row>
    <row r="934" hidden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1"/>
      <c r="M934" s="22" t="b">
        <v>0</v>
      </c>
      <c r="O934" s="22" t="b">
        <v>0</v>
      </c>
      <c r="P934" s="23" t="b">
        <v>0</v>
      </c>
    </row>
    <row r="935" hidden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1"/>
      <c r="M935" s="22" t="b">
        <v>0</v>
      </c>
      <c r="O935" s="22" t="b">
        <v>0</v>
      </c>
      <c r="P935" s="23" t="b">
        <v>0</v>
      </c>
    </row>
    <row r="936" hidden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1"/>
      <c r="M936" s="22" t="b">
        <v>0</v>
      </c>
      <c r="O936" s="22" t="b">
        <v>0</v>
      </c>
      <c r="P936" s="23" t="b">
        <v>0</v>
      </c>
    </row>
    <row r="937" hidden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1"/>
      <c r="M937" s="22" t="b">
        <v>0</v>
      </c>
      <c r="O937" s="22" t="b">
        <v>0</v>
      </c>
      <c r="P937" s="23" t="b">
        <v>0</v>
      </c>
    </row>
    <row r="938" hidden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1"/>
      <c r="M938" s="22" t="b">
        <v>0</v>
      </c>
      <c r="O938" s="22" t="b">
        <v>0</v>
      </c>
      <c r="P938" s="23" t="b">
        <v>0</v>
      </c>
    </row>
    <row r="939" hidden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1"/>
      <c r="M939" s="22" t="b">
        <v>0</v>
      </c>
      <c r="O939" s="22" t="b">
        <v>0</v>
      </c>
      <c r="P939" s="23" t="b">
        <v>0</v>
      </c>
    </row>
    <row r="940" hidden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1"/>
      <c r="M940" s="22" t="b">
        <v>0</v>
      </c>
      <c r="O940" s="22" t="b">
        <v>0</v>
      </c>
      <c r="P940" s="23" t="b">
        <v>0</v>
      </c>
    </row>
    <row r="941" hidden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1"/>
      <c r="M941" s="22" t="b">
        <v>0</v>
      </c>
      <c r="O941" s="22" t="b">
        <v>0</v>
      </c>
      <c r="P941" s="23" t="b">
        <v>0</v>
      </c>
    </row>
    <row r="942" hidden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1"/>
      <c r="M942" s="22" t="b">
        <v>0</v>
      </c>
      <c r="O942" s="22" t="b">
        <v>0</v>
      </c>
      <c r="P942" s="23" t="b">
        <v>0</v>
      </c>
    </row>
    <row r="943" hidden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1"/>
      <c r="M943" s="22" t="b">
        <v>0</v>
      </c>
      <c r="O943" s="22" t="b">
        <v>0</v>
      </c>
      <c r="P943" s="23" t="b">
        <v>0</v>
      </c>
    </row>
    <row r="944" hidden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1"/>
      <c r="M944" s="22" t="b">
        <v>0</v>
      </c>
      <c r="O944" s="22" t="b">
        <v>0</v>
      </c>
      <c r="P944" s="23" t="b">
        <v>0</v>
      </c>
    </row>
    <row r="945" hidden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1"/>
      <c r="M945" s="22" t="b">
        <v>0</v>
      </c>
      <c r="O945" s="22" t="b">
        <v>0</v>
      </c>
      <c r="P945" s="23" t="b">
        <v>0</v>
      </c>
    </row>
    <row r="946" hidden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1"/>
      <c r="M946" s="22" t="b">
        <v>0</v>
      </c>
      <c r="O946" s="22" t="b">
        <v>0</v>
      </c>
      <c r="P946" s="23" t="b">
        <v>0</v>
      </c>
    </row>
    <row r="947" hidden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1"/>
      <c r="M947" s="22" t="b">
        <v>0</v>
      </c>
      <c r="O947" s="22" t="b">
        <v>0</v>
      </c>
      <c r="P947" s="23" t="b">
        <v>0</v>
      </c>
    </row>
    <row r="948" hidden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1"/>
      <c r="M948" s="22" t="b">
        <v>0</v>
      </c>
      <c r="O948" s="22" t="b">
        <v>0</v>
      </c>
      <c r="P948" s="23" t="b">
        <v>0</v>
      </c>
    </row>
    <row r="949" hidden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1"/>
      <c r="M949" s="22" t="b">
        <v>0</v>
      </c>
      <c r="O949" s="22" t="b">
        <v>0</v>
      </c>
      <c r="P949" s="23" t="b">
        <v>0</v>
      </c>
    </row>
    <row r="950" hidden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1"/>
      <c r="M950" s="22" t="b">
        <v>0</v>
      </c>
      <c r="O950" s="22" t="b">
        <v>0</v>
      </c>
      <c r="P950" s="23" t="b">
        <v>0</v>
      </c>
    </row>
    <row r="951" hidden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1"/>
      <c r="M951" s="22" t="b">
        <v>0</v>
      </c>
      <c r="O951" s="22" t="b">
        <v>0</v>
      </c>
      <c r="P951" s="23" t="b">
        <v>0</v>
      </c>
    </row>
    <row r="952" hidden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1"/>
      <c r="M952" s="22" t="b">
        <v>0</v>
      </c>
      <c r="O952" s="22" t="b">
        <v>0</v>
      </c>
      <c r="P952" s="23" t="b">
        <v>0</v>
      </c>
    </row>
    <row r="953" hidden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1"/>
      <c r="M953" s="22" t="b">
        <v>0</v>
      </c>
      <c r="O953" s="22" t="b">
        <v>0</v>
      </c>
      <c r="P953" s="23" t="b">
        <v>0</v>
      </c>
    </row>
    <row r="954" hidden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1"/>
      <c r="M954" s="22" t="b">
        <v>0</v>
      </c>
      <c r="O954" s="22" t="b">
        <v>0</v>
      </c>
      <c r="P954" s="23" t="b">
        <v>0</v>
      </c>
    </row>
    <row r="955" hidden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1"/>
      <c r="M955" s="22" t="b">
        <v>0</v>
      </c>
      <c r="O955" s="22" t="b">
        <v>0</v>
      </c>
      <c r="P955" s="23" t="b">
        <v>0</v>
      </c>
    </row>
    <row r="956" hidden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1"/>
      <c r="M956" s="22" t="b">
        <v>0</v>
      </c>
      <c r="O956" s="22" t="b">
        <v>0</v>
      </c>
      <c r="P956" s="23" t="b">
        <v>0</v>
      </c>
    </row>
    <row r="957" hidden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1"/>
      <c r="M957" s="22" t="b">
        <v>0</v>
      </c>
      <c r="O957" s="22" t="b">
        <v>0</v>
      </c>
      <c r="P957" s="23" t="b">
        <v>0</v>
      </c>
    </row>
    <row r="958" hidden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1"/>
      <c r="M958" s="22" t="b">
        <v>0</v>
      </c>
      <c r="O958" s="22" t="b">
        <v>0</v>
      </c>
      <c r="P958" s="23" t="b">
        <v>0</v>
      </c>
    </row>
    <row r="959" hidden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1"/>
      <c r="M959" s="22" t="b">
        <v>0</v>
      </c>
      <c r="O959" s="22" t="b">
        <v>0</v>
      </c>
      <c r="P959" s="23" t="b">
        <v>0</v>
      </c>
    </row>
    <row r="960" hidden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1"/>
      <c r="M960" s="22" t="b">
        <v>0</v>
      </c>
      <c r="O960" s="22" t="b">
        <v>0</v>
      </c>
      <c r="P960" s="23" t="b">
        <v>0</v>
      </c>
    </row>
    <row r="961" hidden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1"/>
      <c r="M961" s="22" t="b">
        <v>0</v>
      </c>
      <c r="O961" s="22" t="b">
        <v>0</v>
      </c>
      <c r="P961" s="23" t="b">
        <v>0</v>
      </c>
    </row>
    <row r="962" hidden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1"/>
      <c r="M962" s="22" t="b">
        <v>0</v>
      </c>
      <c r="O962" s="22" t="b">
        <v>0</v>
      </c>
      <c r="P962" s="23" t="b">
        <v>0</v>
      </c>
    </row>
    <row r="963" hidden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1"/>
      <c r="M963" s="22" t="b">
        <v>0</v>
      </c>
      <c r="O963" s="22" t="b">
        <v>0</v>
      </c>
      <c r="P963" s="23" t="b">
        <v>0</v>
      </c>
    </row>
    <row r="964" hidden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1"/>
      <c r="M964" s="22" t="b">
        <v>0</v>
      </c>
      <c r="O964" s="22" t="b">
        <v>0</v>
      </c>
      <c r="P964" s="23" t="b">
        <v>0</v>
      </c>
    </row>
    <row r="965" hidden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1"/>
      <c r="M965" s="22" t="b">
        <v>0</v>
      </c>
      <c r="O965" s="22" t="b">
        <v>0</v>
      </c>
      <c r="P965" s="23" t="b">
        <v>0</v>
      </c>
    </row>
    <row r="966" hidden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1"/>
      <c r="M966" s="22" t="b">
        <v>0</v>
      </c>
      <c r="O966" s="22" t="b">
        <v>0</v>
      </c>
      <c r="P966" s="23" t="b">
        <v>0</v>
      </c>
    </row>
    <row r="967" hidden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1"/>
      <c r="M967" s="22" t="b">
        <v>0</v>
      </c>
      <c r="O967" s="22" t="b">
        <v>0</v>
      </c>
      <c r="P967" s="23" t="b">
        <v>0</v>
      </c>
    </row>
    <row r="968" hidden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1"/>
      <c r="M968" s="22" t="b">
        <v>0</v>
      </c>
      <c r="O968" s="22" t="b">
        <v>0</v>
      </c>
      <c r="P968" s="23" t="b">
        <v>0</v>
      </c>
    </row>
    <row r="969" hidden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1"/>
      <c r="M969" s="22" t="b">
        <v>0</v>
      </c>
      <c r="O969" s="22" t="b">
        <v>0</v>
      </c>
      <c r="P969" s="23" t="b">
        <v>0</v>
      </c>
    </row>
    <row r="970" hidden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1"/>
      <c r="M970" s="22" t="b">
        <v>0</v>
      </c>
      <c r="O970" s="22" t="b">
        <v>0</v>
      </c>
      <c r="P970" s="23" t="b">
        <v>0</v>
      </c>
    </row>
    <row r="971" hidden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1"/>
      <c r="M971" s="22" t="b">
        <v>0</v>
      </c>
      <c r="O971" s="22" t="b">
        <v>0</v>
      </c>
      <c r="P971" s="23" t="b">
        <v>0</v>
      </c>
    </row>
    <row r="972" hidden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1"/>
      <c r="M972" s="22" t="b">
        <v>0</v>
      </c>
      <c r="O972" s="22" t="b">
        <v>0</v>
      </c>
      <c r="P972" s="23" t="b">
        <v>0</v>
      </c>
    </row>
    <row r="973" hidden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1"/>
      <c r="M973" s="22" t="b">
        <v>0</v>
      </c>
      <c r="O973" s="22" t="b">
        <v>0</v>
      </c>
      <c r="P973" s="23" t="b">
        <v>0</v>
      </c>
    </row>
    <row r="974" hidden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1"/>
      <c r="M974" s="22" t="b">
        <v>0</v>
      </c>
      <c r="O974" s="22" t="b">
        <v>0</v>
      </c>
      <c r="P974" s="23" t="b">
        <v>0</v>
      </c>
    </row>
    <row r="975" hidden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1"/>
      <c r="M975" s="22" t="b">
        <v>0</v>
      </c>
      <c r="O975" s="22" t="b">
        <v>0</v>
      </c>
      <c r="P975" s="23" t="b">
        <v>0</v>
      </c>
    </row>
    <row r="976" hidden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1"/>
      <c r="M976" s="22" t="b">
        <v>0</v>
      </c>
      <c r="O976" s="22" t="b">
        <v>0</v>
      </c>
      <c r="P976" s="23" t="b">
        <v>0</v>
      </c>
    </row>
    <row r="977" hidden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1"/>
      <c r="M977" s="22" t="b">
        <v>0</v>
      </c>
      <c r="O977" s="22" t="b">
        <v>0</v>
      </c>
      <c r="P977" s="23" t="b">
        <v>0</v>
      </c>
    </row>
    <row r="978" hidden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1"/>
      <c r="M978" s="22" t="b">
        <v>0</v>
      </c>
      <c r="O978" s="22" t="b">
        <v>0</v>
      </c>
      <c r="P978" s="23" t="b">
        <v>0</v>
      </c>
    </row>
    <row r="979" hidden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1"/>
      <c r="M979" s="22" t="b">
        <v>0</v>
      </c>
      <c r="O979" s="22" t="b">
        <v>0</v>
      </c>
      <c r="P979" s="23" t="b">
        <v>0</v>
      </c>
    </row>
    <row r="980" hidden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1"/>
      <c r="M980" s="22" t="b">
        <v>0</v>
      </c>
      <c r="O980" s="22" t="b">
        <v>0</v>
      </c>
      <c r="P980" s="23" t="b">
        <v>0</v>
      </c>
    </row>
    <row r="981" hidden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1"/>
      <c r="M981" s="22" t="b">
        <v>0</v>
      </c>
      <c r="O981" s="22" t="b">
        <v>0</v>
      </c>
      <c r="P981" s="23" t="b">
        <v>0</v>
      </c>
    </row>
    <row r="982" hidden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1"/>
      <c r="M982" s="22" t="b">
        <v>0</v>
      </c>
      <c r="O982" s="22" t="b">
        <v>0</v>
      </c>
      <c r="P982" s="23" t="b">
        <v>0</v>
      </c>
    </row>
    <row r="983" hidden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1"/>
      <c r="M983" s="22" t="b">
        <v>0</v>
      </c>
      <c r="O983" s="22" t="b">
        <v>0</v>
      </c>
      <c r="P983" s="23" t="b">
        <v>0</v>
      </c>
    </row>
    <row r="984" hidden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1"/>
      <c r="M984" s="22" t="b">
        <v>0</v>
      </c>
      <c r="O984" s="22" t="b">
        <v>0</v>
      </c>
      <c r="P984" s="23" t="b">
        <v>0</v>
      </c>
    </row>
    <row r="985" hidden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1"/>
      <c r="M985" s="22" t="b">
        <v>0</v>
      </c>
      <c r="O985" s="22" t="b">
        <v>0</v>
      </c>
      <c r="P985" s="23" t="b">
        <v>0</v>
      </c>
    </row>
    <row r="986" hidden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1"/>
      <c r="M986" s="22" t="b">
        <v>0</v>
      </c>
      <c r="O986" s="22" t="b">
        <v>0</v>
      </c>
      <c r="P986" s="23" t="b">
        <v>0</v>
      </c>
    </row>
    <row r="987" hidden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1"/>
      <c r="M987" s="22" t="b">
        <v>0</v>
      </c>
      <c r="O987" s="22" t="b">
        <v>0</v>
      </c>
      <c r="P987" s="23" t="b">
        <v>0</v>
      </c>
    </row>
    <row r="988" hidden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1"/>
      <c r="M988" s="22" t="b">
        <v>0</v>
      </c>
      <c r="O988" s="22" t="b">
        <v>0</v>
      </c>
      <c r="P988" s="23" t="b">
        <v>0</v>
      </c>
    </row>
    <row r="989" hidden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1"/>
      <c r="M989" s="22" t="b">
        <v>0</v>
      </c>
      <c r="O989" s="22" t="b">
        <v>0</v>
      </c>
      <c r="P989" s="23" t="b">
        <v>0</v>
      </c>
    </row>
    <row r="990" hidden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1"/>
      <c r="M990" s="22" t="b">
        <v>0</v>
      </c>
      <c r="O990" s="22" t="b">
        <v>0</v>
      </c>
      <c r="P990" s="23" t="b">
        <v>0</v>
      </c>
    </row>
    <row r="991" hidden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1"/>
      <c r="M991" s="22" t="b">
        <v>0</v>
      </c>
      <c r="O991" s="22" t="b">
        <v>0</v>
      </c>
      <c r="P991" s="23" t="b">
        <v>0</v>
      </c>
    </row>
    <row r="992" hidden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1"/>
      <c r="M992" s="22" t="b">
        <v>0</v>
      </c>
      <c r="O992" s="22" t="b">
        <v>0</v>
      </c>
      <c r="P992" s="23" t="b">
        <v>0</v>
      </c>
    </row>
    <row r="993" hidden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1"/>
      <c r="M993" s="22" t="b">
        <v>0</v>
      </c>
      <c r="O993" s="22" t="b">
        <v>0</v>
      </c>
      <c r="P993" s="23" t="b">
        <v>0</v>
      </c>
    </row>
    <row r="994" hidden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1"/>
      <c r="M994" s="22" t="b">
        <v>0</v>
      </c>
      <c r="O994" s="22" t="b">
        <v>0</v>
      </c>
      <c r="P994" s="23" t="b">
        <v>0</v>
      </c>
    </row>
    <row r="995" hidden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1"/>
      <c r="M995" s="22" t="b">
        <v>0</v>
      </c>
      <c r="O995" s="22" t="b">
        <v>0</v>
      </c>
      <c r="P995" s="23" t="b">
        <v>0</v>
      </c>
    </row>
    <row r="996" hidden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1"/>
      <c r="M996" s="22" t="b">
        <v>0</v>
      </c>
      <c r="O996" s="22" t="b">
        <v>0</v>
      </c>
      <c r="P996" s="23" t="b">
        <v>0</v>
      </c>
    </row>
    <row r="997" hidden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1"/>
      <c r="M997" s="22" t="b">
        <v>0</v>
      </c>
      <c r="O997" s="22" t="b">
        <v>0</v>
      </c>
      <c r="P997" s="23" t="b">
        <v>0</v>
      </c>
    </row>
    <row r="998" hidden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1"/>
      <c r="M998" s="22" t="b">
        <v>0</v>
      </c>
      <c r="O998" s="22" t="b">
        <v>0</v>
      </c>
      <c r="P998" s="23" t="b">
        <v>0</v>
      </c>
    </row>
    <row r="999" hidden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1"/>
      <c r="M999" s="22" t="b">
        <v>0</v>
      </c>
      <c r="O999" s="22" t="b">
        <v>0</v>
      </c>
      <c r="P999" s="23" t="b">
        <v>0</v>
      </c>
    </row>
    <row r="1000" hidden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1"/>
      <c r="M1000" s="22" t="b">
        <v>0</v>
      </c>
      <c r="O1000" s="22" t="b">
        <v>0</v>
      </c>
      <c r="P1000" s="23" t="b">
        <v>0</v>
      </c>
    </row>
  </sheetData>
  <autoFilter ref="$A$1:$P$1000">
    <filterColumn colId="3">
      <filters>
        <filter val="London"/>
      </filters>
    </filterColumn>
    <sortState ref="A1:P1000">
      <sortCondition ref="A1:A1000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6" max="6" width="41.0"/>
    <col customWidth="1" min="7" max="7" width="27.63"/>
    <col customWidth="1" min="8" max="8" width="13.88"/>
    <col customWidth="1" min="9" max="9" width="24.75"/>
    <col customWidth="1" min="10" max="10" width="15.63"/>
    <col customWidth="1" min="11" max="11" width="15.88"/>
    <col customWidth="1" min="12" max="12" width="14.75"/>
    <col customWidth="1" min="13" max="13" width="14.5"/>
    <col customWidth="1" min="15" max="15" width="15.25"/>
  </cols>
  <sheetData>
    <row r="1">
      <c r="A1" s="10" t="s">
        <v>0</v>
      </c>
      <c r="B1" s="11" t="s">
        <v>133</v>
      </c>
      <c r="C1" s="11" t="s">
        <v>134</v>
      </c>
      <c r="D1" s="11" t="s">
        <v>135</v>
      </c>
      <c r="E1" s="11" t="s">
        <v>136</v>
      </c>
      <c r="F1" s="12" t="s">
        <v>137</v>
      </c>
      <c r="G1" s="13" t="s">
        <v>138</v>
      </c>
      <c r="H1" s="13" t="s">
        <v>139</v>
      </c>
      <c r="I1" s="14" t="s">
        <v>140</v>
      </c>
      <c r="J1" s="14" t="s">
        <v>141</v>
      </c>
      <c r="K1" s="15" t="s">
        <v>142</v>
      </c>
      <c r="L1" s="16" t="s">
        <v>143</v>
      </c>
      <c r="M1" s="17" t="s">
        <v>144</v>
      </c>
      <c r="N1" s="17" t="s">
        <v>145</v>
      </c>
      <c r="O1" s="17" t="s">
        <v>146</v>
      </c>
      <c r="P1" s="18" t="s">
        <v>147</v>
      </c>
      <c r="Q1" s="19"/>
    </row>
    <row r="2" hidden="1">
      <c r="A2" s="20" t="str">
        <f>IFERROR(__xludf.DUMMYFUNCTION("QUERY(
  'Form Responses 1'!A1:XX1000,
  ""select A, B, C, D, F, G, H, I, J, K, L, M where A is not null"",
  1
)
"),"Timestamp")</f>
        <v>Timestamp</v>
      </c>
      <c r="B2" s="20" t="str">
        <f>IFERROR(__xludf.DUMMYFUNCTION("""COMPUTED_VALUE"""),"Full Name")</f>
        <v>Full Name</v>
      </c>
      <c r="C2" s="20" t="str">
        <f>IFERROR(__xludf.DUMMYFUNCTION("""COMPUTED_VALUE"""),"What is your role on committee?")</f>
        <v>What is your role on committee?</v>
      </c>
      <c r="D2" s="20" t="str">
        <f>IFERROR(__xludf.DUMMYFUNCTION("""COMPUTED_VALUE"""),"Please select your Zone")</f>
        <v>Please select your Zone</v>
      </c>
      <c r="E2" s="20" t="str">
        <f>IFERROR(__xludf.DUMMYFUNCTION("""COMPUTED_VALUE"""),"Please select your chapter")</f>
        <v>Please select your chapter</v>
      </c>
      <c r="F2" s="20" t="str">
        <f>IFERROR(__xludf.DUMMYFUNCTION("""COMPUTED_VALUE"""),"Please select the sport for which you would like to submit a team list")</f>
        <v>Please select the sport for which you would like to submit a team list</v>
      </c>
      <c r="G2" s="20" t="str">
        <f>IFERROR(__xludf.DUMMYFUNCTION("""COMPUTED_VALUE"""),"First point of contact email address")</f>
        <v>First point of contact email address</v>
      </c>
      <c r="H2" s="20" t="str">
        <f>IFERROR(__xludf.DUMMYFUNCTION("""COMPUTED_VALUE"""),"First point of contact phone number")</f>
        <v>First point of contact phone number</v>
      </c>
      <c r="I2" s="20" t="str">
        <f>IFERROR(__xludf.DUMMYFUNCTION("""COMPUTED_VALUE"""),"Second point of contact email address")</f>
        <v>Second point of contact email address</v>
      </c>
      <c r="J2" s="20" t="str">
        <f>IFERROR(__xludf.DUMMYFUNCTION("""COMPUTED_VALUE"""),"Second point of contact phone number")</f>
        <v>Second point of contact phone number</v>
      </c>
      <c r="K2" s="20" t="str">
        <f>IFERROR(__xludf.DUMMYFUNCTION("""COMPUTED_VALUE"""),"Any additional information/queries?")</f>
        <v>Any additional information/queries?</v>
      </c>
      <c r="L2" s="21" t="str">
        <f>IFERROR(__xludf.DUMMYFUNCTION("""COMPUTED_VALUE"""),"Are you excited?")</f>
        <v>Are you excited?</v>
      </c>
      <c r="M2" s="22" t="b">
        <v>0</v>
      </c>
      <c r="O2" s="22" t="b">
        <v>0</v>
      </c>
      <c r="P2" s="23" t="b">
        <v>0</v>
      </c>
    </row>
    <row r="3">
      <c r="A3" s="24">
        <f>IFERROR(__xludf.DUMMYFUNCTION("""COMPUTED_VALUE"""),45955.52234943287)</f>
        <v>45955.52235</v>
      </c>
      <c r="B3" s="20" t="str">
        <f>IFERROR(__xludf.DUMMYFUNCTION("""COMPUTED_VALUE"""),"Aryan Jain")</f>
        <v>Aryan Jain</v>
      </c>
      <c r="C3" s="20" t="str">
        <f>IFERROR(__xludf.DUMMYFUNCTION("""COMPUTED_VALUE"""),"President ")</f>
        <v>President </v>
      </c>
      <c r="D3" s="20" t="str">
        <f>IFERROR(__xludf.DUMMYFUNCTION("""COMPUTED_VALUE"""),"South")</f>
        <v>South</v>
      </c>
      <c r="E3" s="20" t="str">
        <f>IFERROR(__xludf.DUMMYFUNCTION("""COMPUTED_VALUE"""),"Cardiff")</f>
        <v>Cardiff</v>
      </c>
      <c r="F3" s="20" t="str">
        <f>IFERROR(__xludf.DUMMYFUNCTION("""COMPUTED_VALUE"""),"Badminton A (Mixed Doubles - no subs) - £18, 𝗔𝗠, Badminton B (Mixed Doubles - no subs) - £18, 𝗔𝗠, Kho Kho A (Mixed 9 + 2 subs - min 2 of each gender) - £33, 𝗔𝗠, Netball A (Womens 7 + 3 subs) - £33, 𝗣𝗠, Football A (Mens 5 + 3 subs) - £33, 𝗣𝗠")</f>
        <v>Badminton A (Mixed Doubles - no subs) - £18, 𝗔𝗠, Badminton B (Mixed Doubles - no subs) - £18, 𝗔𝗠, Kho Kho A (Mixed 9 + 2 subs - min 2 of each gender) - £33, 𝗔𝗠, Netball A (Womens 7 + 3 subs) - £33, 𝗣𝗠, Football A (Mens 5 + 3 subs) - £33, 𝗣𝗠</v>
      </c>
      <c r="G3" s="20" t="str">
        <f>IFERROR(__xludf.DUMMYFUNCTION("""COMPUTED_VALUE"""),"Nhsfcardiff@gmail.com")</f>
        <v>Nhsfcardiff@gmail.com</v>
      </c>
      <c r="H3" s="20" t="str">
        <f>IFERROR(__xludf.DUMMYFUNCTION("""COMPUTED_VALUE"""),"07419741154")</f>
        <v>07419741154</v>
      </c>
      <c r="I3" s="20" t="str">
        <f>IFERROR(__xludf.DUMMYFUNCTION("""COMPUTED_VALUE"""),"Aryanjainuk@gmail.com")</f>
        <v>Aryanjainuk@gmail.com</v>
      </c>
      <c r="J3" s="20" t="str">
        <f>IFERROR(__xludf.DUMMYFUNCTION("""COMPUTED_VALUE"""),"+44 7488 320075")</f>
        <v>+44 7488 320075</v>
      </c>
      <c r="K3" s="20"/>
      <c r="L3" s="21" t="str">
        <f>IFERROR(__xludf.DUMMYFUNCTION("""COMPUTED_VALUE"""),"Yes 🔥")</f>
        <v>Yes 🔥</v>
      </c>
      <c r="M3" s="22" t="b">
        <v>0</v>
      </c>
      <c r="O3" s="22" t="b">
        <v>0</v>
      </c>
      <c r="P3" s="23" t="b">
        <v>0</v>
      </c>
    </row>
    <row r="4">
      <c r="A4" s="24">
        <f>IFERROR(__xludf.DUMMYFUNCTION("""COMPUTED_VALUE"""),45955.522501597225)</f>
        <v>45955.5225</v>
      </c>
      <c r="B4" s="20" t="str">
        <f>IFERROR(__xludf.DUMMYFUNCTION("""COMPUTED_VALUE"""),"Rishi Amin")</f>
        <v>Rishi Amin</v>
      </c>
      <c r="C4" s="20" t="str">
        <f>IFERROR(__xludf.DUMMYFUNCTION("""COMPUTED_VALUE"""),"Co-President ")</f>
        <v>Co-President </v>
      </c>
      <c r="D4" s="20" t="str">
        <f>IFERROR(__xludf.DUMMYFUNCTION("""COMPUTED_VALUE"""),"South")</f>
        <v>South</v>
      </c>
      <c r="E4" s="20" t="str">
        <f>IFERROR(__xludf.DUMMYFUNCTION("""COMPUTED_VALUE"""),"Bristol")</f>
        <v>Bristol</v>
      </c>
      <c r="F4" s="20" t="str">
        <f>IFERROR(__xludf.DUMMYFUNCTION("""COMPUTED_VALUE"""),"Badminton A (Mixed Doubles - no subs) - £18, 𝗔𝗠, Badminton B (Mixed Doubles - no subs) - £18, 𝗔𝗠, Kho Kho A (Mixed 9 + 2 subs - min 2 of each gender) - £33, 𝗔𝗠, Kho Kho B (Mixed 9 + 2 subs - min 2 of each gender) - £33, 𝗔𝗠, Football A (Mens 5 + 3 "&amp;"subs) - £33, 𝗣𝗠")</f>
        <v>Badminton A (Mixed Doubles - no subs) - £18, 𝗔𝗠, Badminton B (Mixed Doubles - no subs) - £18, 𝗔𝗠, Kho Kho A (Mixed 9 + 2 subs - min 2 of each gender) - £33, 𝗔𝗠, Kho Kho B (Mixed 9 + 2 subs - min 2 of each gender) - £33, 𝗔𝗠, Football A (Mens 5 + 3 subs) - £33, 𝗣𝗠</v>
      </c>
      <c r="G4" s="20" t="str">
        <f>IFERROR(__xludf.DUMMYFUNCTION("""COMPUTED_VALUE"""),"Nhsfbristol@gmail.com")</f>
        <v>Nhsfbristol@gmail.com</v>
      </c>
      <c r="H4" s="20" t="str">
        <f>IFERROR(__xludf.DUMMYFUNCTION("""COMPUTED_VALUE"""),"07435665560")</f>
        <v>07435665560</v>
      </c>
      <c r="I4" s="20" t="str">
        <f>IFERROR(__xludf.DUMMYFUNCTION("""COMPUTED_VALUE"""),"qs22114@bristol.ac.uk")</f>
        <v>qs22114@bristol.ac.uk</v>
      </c>
      <c r="J4" s="20" t="str">
        <f>IFERROR(__xludf.DUMMYFUNCTION("""COMPUTED_VALUE"""),"+44 7510 329586")</f>
        <v>+44 7510 329586</v>
      </c>
      <c r="K4" s="20"/>
      <c r="L4" s="21" t="str">
        <f>IFERROR(__xludf.DUMMYFUNCTION("""COMPUTED_VALUE"""),"Yes 🔥")</f>
        <v>Yes 🔥</v>
      </c>
      <c r="M4" s="22" t="b">
        <v>0</v>
      </c>
      <c r="O4" s="22" t="b">
        <v>0</v>
      </c>
      <c r="P4" s="23" t="b">
        <v>0</v>
      </c>
    </row>
    <row r="5" hidden="1">
      <c r="A5" s="24">
        <f>IFERROR(__xludf.DUMMYFUNCTION("""COMPUTED_VALUE"""),45955.5382215625)</f>
        <v>45955.53822</v>
      </c>
      <c r="B5" s="20" t="str">
        <f>IFERROR(__xludf.DUMMYFUNCTION("""COMPUTED_VALUE"""),"Riya Sareen")</f>
        <v>Riya Sareen</v>
      </c>
      <c r="C5" s="20" t="str">
        <f>IFERROR(__xludf.DUMMYFUNCTION("""COMPUTED_VALUE"""),"Head of Sports")</f>
        <v>Head of Sports</v>
      </c>
      <c r="D5" s="20" t="str">
        <f>IFERROR(__xludf.DUMMYFUNCTION("""COMPUTED_VALUE"""),"London")</f>
        <v>London</v>
      </c>
      <c r="E5" s="20"/>
      <c r="F5" s="20" t="str">
        <f>IFERROR(__xludf.DUMMYFUNCTION("""COMPUTED_VALUE"""),"Badminton A (Mixed Doubles - no subs) - £18, 𝗔𝗠, Football A (Mens 5 + 3 subs) - £33, 𝗣𝗠, Kabaddi A (Mens 7 + 2 Subs) - £33, 𝗣𝗠")</f>
        <v>Badminton A (Mixed Doubles - no subs) - £18, 𝗔𝗠, Football A (Mens 5 + 3 subs) - £33, 𝗣𝗠, Kabaddi A (Mens 7 + 2 Subs) - £33, 𝗣𝗠</v>
      </c>
      <c r="G5" s="20" t="str">
        <f>IFERROR(__xludf.DUMMYFUNCTION("""COMPUTED_VALUE"""),"riyasareen06@gmail.com")</f>
        <v>riyasareen06@gmail.com</v>
      </c>
      <c r="H5" s="20" t="str">
        <f>IFERROR(__xludf.DUMMYFUNCTION("""COMPUTED_VALUE"""),"07790092007")</f>
        <v>07790092007</v>
      </c>
      <c r="I5" s="20" t="str">
        <f>IFERROR(__xludf.DUMMYFUNCTION("""COMPUTED_VALUE"""),"Akshat Sharma")</f>
        <v>Akshat Sharma</v>
      </c>
      <c r="J5" s="20" t="str">
        <f>IFERROR(__xludf.DUMMYFUNCTION("""COMPUTED_VALUE"""),"+44 7847 354228")</f>
        <v>+44 7847 354228</v>
      </c>
      <c r="K5" s="20"/>
      <c r="L5" s="21" t="str">
        <f>IFERROR(__xludf.DUMMYFUNCTION("""COMPUTED_VALUE"""),"Yes 🔥")</f>
        <v>Yes 🔥</v>
      </c>
      <c r="M5" s="22" t="b">
        <v>0</v>
      </c>
      <c r="O5" s="22" t="b">
        <v>0</v>
      </c>
      <c r="P5" s="23" t="b">
        <v>0</v>
      </c>
    </row>
    <row r="6" hidden="1">
      <c r="A6" s="24">
        <f>IFERROR(__xludf.DUMMYFUNCTION("""COMPUTED_VALUE"""),45960.45364881944)</f>
        <v>45960.45365</v>
      </c>
      <c r="B6" s="20" t="str">
        <f>IFERROR(__xludf.DUMMYFUNCTION("""COMPUTED_VALUE"""),"Priya Patel")</f>
        <v>Priya Patel</v>
      </c>
      <c r="C6" s="20" t="str">
        <f>IFERROR(__xludf.DUMMYFUNCTION("""COMPUTED_VALUE"""),"President ")</f>
        <v>President </v>
      </c>
      <c r="D6" s="20" t="str">
        <f>IFERROR(__xludf.DUMMYFUNCTION("""COMPUTED_VALUE"""),"London")</f>
        <v>London</v>
      </c>
      <c r="E6" s="20"/>
      <c r="F6" s="20" t="str">
        <f>IFERROR(__xludf.DUMMYFUNCTION("""COMPUTED_VALUE"""),"Badminton B (Mixed Doubles - no subs) - £18, 𝗔𝗠, Football B (Mens 5 + 3 subs) - £33, 𝗣𝗠")</f>
        <v>Badminton B (Mixed Doubles - no subs) - £18, 𝗔𝗠, Football B (Mens 5 + 3 subs) - £33, 𝗣𝗠</v>
      </c>
      <c r="G6" s="20" t="str">
        <f>IFERROR(__xludf.DUMMYFUNCTION("""COMPUTED_VALUE"""),"Aakashsainixko@gmail.com")</f>
        <v>Aakashsainixko@gmail.com</v>
      </c>
      <c r="H6" s="20" t="str">
        <f>IFERROR(__xludf.DUMMYFUNCTION("""COMPUTED_VALUE"""),"07588 150649")</f>
        <v>07588 150649</v>
      </c>
      <c r="I6" s="20" t="str">
        <f>IFERROR(__xludf.DUMMYFUNCTION("""COMPUTED_VALUE"""),"patel2004priya@gmail.com")</f>
        <v>patel2004priya@gmail.com</v>
      </c>
      <c r="J6" s="20" t="str">
        <f>IFERROR(__xludf.DUMMYFUNCTION("""COMPUTED_VALUE"""),"07466315973")</f>
        <v>07466315973</v>
      </c>
      <c r="K6" s="20"/>
      <c r="L6" s="21" t="str">
        <f>IFERROR(__xludf.DUMMYFUNCTION("""COMPUTED_VALUE"""),"Yes 🔥")</f>
        <v>Yes 🔥</v>
      </c>
      <c r="M6" s="22" t="b">
        <v>0</v>
      </c>
      <c r="O6" s="22" t="b">
        <v>0</v>
      </c>
      <c r="P6" s="23" t="b">
        <v>0</v>
      </c>
    </row>
    <row r="7" hidden="1">
      <c r="A7" s="24">
        <f>IFERROR(__xludf.DUMMYFUNCTION("""COMPUTED_VALUE"""),45960.53917074074)</f>
        <v>45960.53917</v>
      </c>
      <c r="B7" s="20" t="str">
        <f>IFERROR(__xludf.DUMMYFUNCTION("""COMPUTED_VALUE"""),"Hanisha Patel")</f>
        <v>Hanisha Patel</v>
      </c>
      <c r="C7" s="20" t="str">
        <f>IFERROR(__xludf.DUMMYFUNCTION("""COMPUTED_VALUE"""),"Sports Coordinator ")</f>
        <v>Sports Coordinator </v>
      </c>
      <c r="D7" s="20" t="str">
        <f>IFERROR(__xludf.DUMMYFUNCTION("""COMPUTED_VALUE"""),"London")</f>
        <v>London</v>
      </c>
      <c r="E7" s="20"/>
      <c r="F7" s="20" t="str">
        <f>IFERROR(__xludf.DUMMYFUNCTION("""COMPUTED_VALUE"""),"Badminton A (Mixed Doubles - no subs) - £18, 𝗔𝗠, Kho Kho A (Mixed 9 + 2 subs - min 2 of each gender) - £33, 𝗔𝗠, Netball A (Womens 7 + 3 subs) - £33, 𝗣𝗠, Football A (Mens 5 + 3 subs) - £33, 𝗣𝗠")</f>
        <v>Badminton A (Mixed Doubles - no subs) - £18, 𝗔𝗠, Kho Kho A (Mixed 9 + 2 subs - min 2 of each gender) - £33, 𝗔𝗠, Netball A (Womens 7 + 3 subs) - £33, 𝗣𝗠, Football A (Mens 5 + 3 subs) - £33, 𝗣𝗠</v>
      </c>
      <c r="G7" s="20" t="str">
        <f>IFERROR(__xludf.DUMMYFUNCTION("""COMPUTED_VALUE"""),"hanishapatel12@gmail.com")</f>
        <v>hanishapatel12@gmail.com</v>
      </c>
      <c r="H7" s="20" t="str">
        <f>IFERROR(__xludf.DUMMYFUNCTION("""COMPUTED_VALUE"""),"07909369366")</f>
        <v>07909369366</v>
      </c>
      <c r="I7" s="20" t="str">
        <f>IFERROR(__xludf.DUMMYFUNCTION("""COMPUTED_VALUE"""),"suhani.bapat.24@ucl.ac.uk")</f>
        <v>suhani.bapat.24@ucl.ac.uk</v>
      </c>
      <c r="J7" s="20" t="str">
        <f>IFERROR(__xludf.DUMMYFUNCTION("""COMPUTED_VALUE"""),"07849779264")</f>
        <v>07849779264</v>
      </c>
      <c r="K7" s="20"/>
      <c r="L7" s="21" t="str">
        <f>IFERROR(__xludf.DUMMYFUNCTION("""COMPUTED_VALUE"""),"Yes 🔥")</f>
        <v>Yes 🔥</v>
      </c>
      <c r="M7" s="22" t="b">
        <v>0</v>
      </c>
      <c r="O7" s="22" t="b">
        <v>0</v>
      </c>
      <c r="P7" s="23" t="b">
        <v>0</v>
      </c>
    </row>
    <row r="8" hidden="1">
      <c r="A8" s="24">
        <f>IFERROR(__xludf.DUMMYFUNCTION("""COMPUTED_VALUE"""),45960.54407988426)</f>
        <v>45960.54408</v>
      </c>
      <c r="B8" s="20" t="str">
        <f>IFERROR(__xludf.DUMMYFUNCTION("""COMPUTED_VALUE"""),"Boshupriyo Bijan Mandal")</f>
        <v>Boshupriyo Bijan Mandal</v>
      </c>
      <c r="C8" s="20" t="str">
        <f>IFERROR(__xludf.DUMMYFUNCTION("""COMPUTED_VALUE"""),"Sport coordinator ")</f>
        <v>Sport coordinator </v>
      </c>
      <c r="D8" s="20" t="str">
        <f>IFERROR(__xludf.DUMMYFUNCTION("""COMPUTED_VALUE"""),"London")</f>
        <v>London</v>
      </c>
      <c r="E8" s="20"/>
      <c r="F8" s="20" t="str">
        <f>IFERROR(__xludf.DUMMYFUNCTION("""COMPUTED_VALUE"""),"Badminton A (Mixed Doubles - no subs) - £18, 𝗔𝗠, Kho Kho B (Mixed 9 + 2 subs - min 2 of each gender) - £33, 𝗔𝗠, Netball A (Womens 7 + 3 subs) - £33, 𝗣𝗠, Football B (Mens 5 + 3 subs) - £33, 𝗣𝗠")</f>
        <v>Badminton A (Mixed Doubles - no subs) - £18, 𝗔𝗠, Kho Kho B (Mixed 9 + 2 subs - min 2 of each gender) - £33, 𝗔𝗠, Netball A (Womens 7 + 3 subs) - £33, 𝗣𝗠, Football B (Mens 5 + 3 subs) - £33, 𝗣𝗠</v>
      </c>
      <c r="G8" s="20" t="str">
        <f>IFERROR(__xludf.DUMMYFUNCTION("""COMPUTED_VALUE"""),"20boshu05@gmail.com")</f>
        <v>20boshu05@gmail.com</v>
      </c>
      <c r="H8" s="20" t="str">
        <f>IFERROR(__xludf.DUMMYFUNCTION("""COMPUTED_VALUE"""),"07488275942")</f>
        <v>07488275942</v>
      </c>
      <c r="I8" s="20" t="str">
        <f>IFERROR(__xludf.DUMMYFUNCTION("""COMPUTED_VALUE"""),"20boshu05@gmail.com")</f>
        <v>20boshu05@gmail.com</v>
      </c>
      <c r="J8" s="20" t="str">
        <f>IFERROR(__xludf.DUMMYFUNCTION("""COMPUTED_VALUE"""),"07488275942")</f>
        <v>07488275942</v>
      </c>
      <c r="K8" s="20"/>
      <c r="L8" s="21" t="str">
        <f>IFERROR(__xludf.DUMMYFUNCTION("""COMPUTED_VALUE"""),"Yes 🔥")</f>
        <v>Yes 🔥</v>
      </c>
      <c r="M8" s="22" t="b">
        <v>0</v>
      </c>
      <c r="O8" s="22" t="b">
        <v>0</v>
      </c>
      <c r="P8" s="23" t="b">
        <v>0</v>
      </c>
    </row>
    <row r="9" hidden="1">
      <c r="A9" s="24">
        <f>IFERROR(__xludf.DUMMYFUNCTION("""COMPUTED_VALUE"""),45961.57995310185)</f>
        <v>45961.57995</v>
      </c>
      <c r="B9" s="20" t="str">
        <f>IFERROR(__xludf.DUMMYFUNCTION("""COMPUTED_VALUE"""),"Nikita Biju")</f>
        <v>Nikita Biju</v>
      </c>
      <c r="C9" s="20" t="str">
        <f>IFERROR(__xludf.DUMMYFUNCTION("""COMPUTED_VALUE"""),"Sport")</f>
        <v>Sport</v>
      </c>
      <c r="D9" s="20" t="str">
        <f>IFERROR(__xludf.DUMMYFUNCTION("""COMPUTED_VALUE"""),"London")</f>
        <v>London</v>
      </c>
      <c r="E9" s="20"/>
      <c r="F9" s="20" t="str">
        <f>IFERROR(__xludf.DUMMYFUNCTION("""COMPUTED_VALUE"""),"Badminton A (Mixed Doubles - no subs) - £18, 𝗔𝗠, Netball A (Womens 7 + 3 subs) - £33, 𝗣𝗠, Football A (Mens 5 + 3 subs) - £33, 𝗣𝗠, Kabaddi A (Mens 7 + 2 Subs) - £33, 𝗣𝗠, Kabaddi B (Mens 7 + 2 Subs) - £33, 𝗣𝗠")</f>
        <v>Badminton A (Mixed Doubles - no subs) - £18, 𝗔𝗠, Netball A (Womens 7 + 3 subs) - £33, 𝗣𝗠, Football A (Mens 5 + 3 subs) - £33, 𝗣𝗠, Kabaddi A (Mens 7 + 2 Subs) - £33, 𝗣𝗠, Kabaddi B (Mens 7 + 2 Subs) - £33, 𝗣𝗠</v>
      </c>
      <c r="G9" s="20" t="str">
        <f>IFERROR(__xludf.DUMMYFUNCTION("""COMPUTED_VALUE"""),"nikitabiju2006@gmail.com")</f>
        <v>nikitabiju2006@gmail.com</v>
      </c>
      <c r="H9" s="20" t="str">
        <f>IFERROR(__xludf.DUMMYFUNCTION("""COMPUTED_VALUE"""),"07914152044")</f>
        <v>07914152044</v>
      </c>
      <c r="I9" s="20" t="str">
        <f>IFERROR(__xludf.DUMMYFUNCTION("""COMPUTED_VALUE"""),"siya.ambekar@me.com")</f>
        <v>siya.ambekar@me.com</v>
      </c>
      <c r="J9" s="20" t="str">
        <f>IFERROR(__xludf.DUMMYFUNCTION("""COMPUTED_VALUE"""),"+44 7943 974119")</f>
        <v>+44 7943 974119</v>
      </c>
      <c r="K9" s="20"/>
      <c r="L9" s="21" t="str">
        <f>IFERROR(__xludf.DUMMYFUNCTION("""COMPUTED_VALUE"""),"Of Course 🤩")</f>
        <v>Of Course 🤩</v>
      </c>
      <c r="M9" s="22" t="b">
        <v>0</v>
      </c>
      <c r="O9" s="22" t="b">
        <v>0</v>
      </c>
      <c r="P9" s="23" t="b">
        <v>0</v>
      </c>
    </row>
    <row r="10">
      <c r="A10" s="24">
        <f>IFERROR(__xludf.DUMMYFUNCTION("""COMPUTED_VALUE"""),45962.60846008102)</f>
        <v>45962.60846</v>
      </c>
      <c r="B10" s="20" t="str">
        <f>IFERROR(__xludf.DUMMYFUNCTION("""COMPUTED_VALUE"""),"Mansi Shah")</f>
        <v>Mansi Shah</v>
      </c>
      <c r="C10" s="20" t="str">
        <f>IFERROR(__xludf.DUMMYFUNCTION("""COMPUTED_VALUE"""),"President ")</f>
        <v>President </v>
      </c>
      <c r="D10" s="20" t="str">
        <f>IFERROR(__xludf.DUMMYFUNCTION("""COMPUTED_VALUE"""),"South")</f>
        <v>South</v>
      </c>
      <c r="E10" s="20" t="str">
        <f>IFERROR(__xludf.DUMMYFUNCTION("""COMPUTED_VALUE"""),"Brighton &amp; Sussex")</f>
        <v>Brighton &amp; Sussex</v>
      </c>
      <c r="F10" s="20" t="str">
        <f>IFERROR(__xludf.DUMMYFUNCTION("""COMPUTED_VALUE"""),"Badminton A (Mixed Doubles - no subs) - £18, 𝗔𝗠, Football A (Mens 5 + 3 subs) - £33, 𝗣𝗠")</f>
        <v>Badminton A (Mixed Doubles - no subs) - £18, 𝗔𝗠, Football A (Mens 5 + 3 subs) - £33, 𝗣𝗠</v>
      </c>
      <c r="G10" s="20" t="str">
        <f>IFERROR(__xludf.DUMMYFUNCTION("""COMPUTED_VALUE"""),"mansiben.shah2005@gmail.com")</f>
        <v>mansiben.shah2005@gmail.com</v>
      </c>
      <c r="H10" s="20" t="str">
        <f>IFERROR(__xludf.DUMMYFUNCTION("""COMPUTED_VALUE"""),"07488551933")</f>
        <v>07488551933</v>
      </c>
      <c r="I10" s="20" t="str">
        <f>IFERROR(__xludf.DUMMYFUNCTION("""COMPUTED_VALUE"""),"yj250@sussex.ac.uk")</f>
        <v>yj250@sussex.ac.uk</v>
      </c>
      <c r="J10" s="20" t="str">
        <f>IFERROR(__xludf.DUMMYFUNCTION("""COMPUTED_VALUE"""),"+91 99994 06000")</f>
        <v>+91 99994 06000</v>
      </c>
      <c r="K10" s="20"/>
      <c r="L10" s="21" t="str">
        <f>IFERROR(__xludf.DUMMYFUNCTION("""COMPUTED_VALUE"""),"Yes 🔥")</f>
        <v>Yes 🔥</v>
      </c>
      <c r="M10" s="22" t="b">
        <v>0</v>
      </c>
      <c r="O10" s="22" t="b">
        <v>0</v>
      </c>
      <c r="P10" s="23" t="b">
        <v>0</v>
      </c>
    </row>
    <row r="11" hidden="1">
      <c r="A11" s="24">
        <f>IFERROR(__xludf.DUMMYFUNCTION("""COMPUTED_VALUE"""),45962.69343559028)</f>
        <v>45962.69344</v>
      </c>
      <c r="B11" s="20" t="str">
        <f>IFERROR(__xludf.DUMMYFUNCTION("""COMPUTED_VALUE"""),"Thira Vekaria")</f>
        <v>Thira Vekaria</v>
      </c>
      <c r="C11" s="20" t="str">
        <f>IFERROR(__xludf.DUMMYFUNCTION("""COMPUTED_VALUE"""),"Sports coordinator ")</f>
        <v>Sports coordinator </v>
      </c>
      <c r="D11" s="20" t="str">
        <f>IFERROR(__xludf.DUMMYFUNCTION("""COMPUTED_VALUE"""),"London")</f>
        <v>London</v>
      </c>
      <c r="E11" s="20"/>
      <c r="F11" s="20" t="str">
        <f>IFERROR(__xludf.DUMMYFUNCTION("""COMPUTED_VALUE"""),"Badminton A (Mixed Doubles - no subs) - £18, 𝗔𝗠, Kho Kho A (Mixed 9 + 2 subs - min 2 of each gender) - £33, 𝗔𝗠, Kho Kho B (Mixed 9 + 2 subs - min 2 of each gender) - £33, 𝗔𝗠")</f>
        <v>Badminton A (Mixed Doubles - no subs) - £18, 𝗔𝗠, Kho Kho A (Mixed 9 + 2 subs - min 2 of each gender) - £33, 𝗔𝗠, Kho Kho B (Mixed 9 + 2 subs - min 2 of each gender) - £33, 𝗔𝗠</v>
      </c>
      <c r="G11" s="20" t="str">
        <f>IFERROR(__xludf.DUMMYFUNCTION("""COMPUTED_VALUE"""),"thira_v@hotmail.com")</f>
        <v>thira_v@hotmail.com</v>
      </c>
      <c r="H11" s="20" t="str">
        <f>IFERROR(__xludf.DUMMYFUNCTION("""COMPUTED_VALUE"""),"07368131098")</f>
        <v>07368131098</v>
      </c>
      <c r="I11" s="20" t="str">
        <f>IFERROR(__xludf.DUMMYFUNCTION("""COMPUTED_VALUE"""),"priyesh.shah512@gmail.com")</f>
        <v>priyesh.shah512@gmail.com</v>
      </c>
      <c r="J11" s="20" t="str">
        <f>IFERROR(__xludf.DUMMYFUNCTION("""COMPUTED_VALUE"""),"07716 113318")</f>
        <v>07716 113318</v>
      </c>
      <c r="K11" s="20"/>
      <c r="L11" s="21" t="str">
        <f>IFERROR(__xludf.DUMMYFUNCTION("""COMPUTED_VALUE"""),"Of Course 🤩")</f>
        <v>Of Course 🤩</v>
      </c>
      <c r="M11" s="22" t="b">
        <v>0</v>
      </c>
      <c r="O11" s="22" t="b">
        <v>0</v>
      </c>
      <c r="P11" s="23" t="b">
        <v>0</v>
      </c>
    </row>
    <row r="12">
      <c r="A12" s="24">
        <f>IFERROR(__xludf.DUMMYFUNCTION("""COMPUTED_VALUE"""),45962.70907512731)</f>
        <v>45962.70908</v>
      </c>
      <c r="B12" s="20" t="str">
        <f>IFERROR(__xludf.DUMMYFUNCTION("""COMPUTED_VALUE"""),"Meera Malaiya")</f>
        <v>Meera Malaiya</v>
      </c>
      <c r="C12" s="20" t="str">
        <f>IFERROR(__xludf.DUMMYFUNCTION("""COMPUTED_VALUE"""),"President ")</f>
        <v>President </v>
      </c>
      <c r="D12" s="20" t="str">
        <f>IFERROR(__xludf.DUMMYFUNCTION("""COMPUTED_VALUE"""),"South")</f>
        <v>South</v>
      </c>
      <c r="E12" s="20" t="str">
        <f>IFERROR(__xludf.DUMMYFUNCTION("""COMPUTED_VALUE"""),"Reading")</f>
        <v>Reading</v>
      </c>
      <c r="F12" s="20" t="str">
        <f>IFERROR(__xludf.DUMMYFUNCTION("""COMPUTED_VALUE"""),"Badminton A (Mixed Doubles - no subs) - £18, 𝗔𝗠, Kho Kho A (Mixed 9 + 2 subs - min 2 of each gender) - £33, 𝗔𝗠, Football A (Mens 5 + 3 subs) - £33, 𝗣𝗠")</f>
        <v>Badminton A (Mixed Doubles - no subs) - £18, 𝗔𝗠, Kho Kho A (Mixed 9 + 2 subs - min 2 of each gender) - £33, 𝗔𝗠, Football A (Mens 5 + 3 subs) - £33, 𝗣𝗠</v>
      </c>
      <c r="G12" s="20" t="str">
        <f>IFERROR(__xludf.DUMMYFUNCTION("""COMPUTED_VALUE"""),"meeramalaiya@gmail.com")</f>
        <v>meeramalaiya@gmail.com</v>
      </c>
      <c r="H12" s="20" t="str">
        <f>IFERROR(__xludf.DUMMYFUNCTION("""COMPUTED_VALUE"""),"07436377072")</f>
        <v>07436377072</v>
      </c>
      <c r="I12" s="20" t="str">
        <f>IFERROR(__xludf.DUMMYFUNCTION("""COMPUTED_VALUE"""),"aravindnachiappan@gmail.com")</f>
        <v>aravindnachiappan@gmail.com</v>
      </c>
      <c r="J12" s="20" t="str">
        <f>IFERROR(__xludf.DUMMYFUNCTION("""COMPUTED_VALUE"""),"07442426846")</f>
        <v>07442426846</v>
      </c>
      <c r="K12" s="20" t="str">
        <f>IFERROR(__xludf.DUMMYFUNCTION("""COMPUTED_VALUE"""),"-")</f>
        <v>-</v>
      </c>
      <c r="L12" s="21" t="str">
        <f>IFERROR(__xludf.DUMMYFUNCTION("""COMPUTED_VALUE"""),"Yes 🔥")</f>
        <v>Yes 🔥</v>
      </c>
      <c r="M12" s="22" t="b">
        <v>0</v>
      </c>
      <c r="O12" s="22" t="b">
        <v>0</v>
      </c>
      <c r="P12" s="23" t="b">
        <v>0</v>
      </c>
    </row>
    <row r="13" hidden="1">
      <c r="A13" s="24">
        <f>IFERROR(__xludf.DUMMYFUNCTION("""COMPUTED_VALUE"""),45962.731583252316)</f>
        <v>45962.73158</v>
      </c>
      <c r="B13" s="20" t="str">
        <f>IFERROR(__xludf.DUMMYFUNCTION("""COMPUTED_VALUE"""),"Dhanisha Patel ")</f>
        <v>Dhanisha Patel </v>
      </c>
      <c r="C13" s="20" t="str">
        <f>IFERROR(__xludf.DUMMYFUNCTION("""COMPUTED_VALUE"""),"President ")</f>
        <v>President </v>
      </c>
      <c r="D13" s="20" t="str">
        <f>IFERROR(__xludf.DUMMYFUNCTION("""COMPUTED_VALUE"""),"London")</f>
        <v>London</v>
      </c>
      <c r="E13" s="20"/>
      <c r="F13" s="20" t="str">
        <f>IFERROR(__xludf.DUMMYFUNCTION("""COMPUTED_VALUE"""),"Badminton A (Mixed Doubles - no subs) - £18, 𝗔𝗠, Kho Kho A (Mixed 9 + 2 subs - min 2 of each gender) - £33, 𝗔𝗠, Netball A (Womens 7 + 3 subs) - £33, 𝗣𝗠, Football A (Mens 5 + 3 subs) - £33, 𝗣𝗠")</f>
        <v>Badminton A (Mixed Doubles - no subs) - £18, 𝗔𝗠, Kho Kho A (Mixed 9 + 2 subs - min 2 of each gender) - £33, 𝗔𝗠, Netball A (Womens 7 + 3 subs) - £33, 𝗣𝗠, Football A (Mens 5 + 3 subs) - £33, 𝗣𝗠</v>
      </c>
      <c r="G13" s="20" t="str">
        <f>IFERROR(__xludf.DUMMYFUNCTION("""COMPUTED_VALUE"""),"dhanisha.p155@gmail.com ")</f>
        <v>dhanisha.p155@gmail.com </v>
      </c>
      <c r="H13" s="20" t="str">
        <f>IFERROR(__xludf.DUMMYFUNCTION("""COMPUTED_VALUE"""),"7401982997")</f>
        <v>7401982997</v>
      </c>
      <c r="I13" s="20" t="str">
        <f>IFERROR(__xludf.DUMMYFUNCTION("""COMPUTED_VALUE"""),"RishiSoni.686@gmail.com ")</f>
        <v>RishiSoni.686@gmail.com </v>
      </c>
      <c r="J13" s="20" t="str">
        <f>IFERROR(__xludf.DUMMYFUNCTION("""COMPUTED_VALUE"""),"7519606481")</f>
        <v>7519606481</v>
      </c>
      <c r="K13" s="20"/>
      <c r="L13" s="21" t="str">
        <f>IFERROR(__xludf.DUMMYFUNCTION("""COMPUTED_VALUE"""),"Yes 🔥")</f>
        <v>Yes 🔥</v>
      </c>
      <c r="M13" s="22" t="b">
        <v>0</v>
      </c>
      <c r="O13" s="22" t="b">
        <v>0</v>
      </c>
      <c r="P13" s="23" t="b">
        <v>0</v>
      </c>
    </row>
    <row r="14" hidden="1">
      <c r="A14" s="24">
        <f>IFERROR(__xludf.DUMMYFUNCTION("""COMPUTED_VALUE"""),45962.94356775463)</f>
        <v>45962.94357</v>
      </c>
      <c r="B14" s="20" t="str">
        <f>IFERROR(__xludf.DUMMYFUNCTION("""COMPUTED_VALUE"""),"Karthik Venkatesh ")</f>
        <v>Karthik Venkatesh </v>
      </c>
      <c r="C14" s="20" t="str">
        <f>IFERROR(__xludf.DUMMYFUNCTION("""COMPUTED_VALUE"""),"President ")</f>
        <v>President </v>
      </c>
      <c r="D14" s="20" t="str">
        <f>IFERROR(__xludf.DUMMYFUNCTION("""COMPUTED_VALUE"""),"London")</f>
        <v>London</v>
      </c>
      <c r="E14" s="20"/>
      <c r="F14" s="20" t="str">
        <f>IFERROR(__xludf.DUMMYFUNCTION("""COMPUTED_VALUE"""),"Badminton A (Mixed Doubles - no subs) - £18, 𝗔𝗠, Badminton B (Mixed Doubles - no subs) - £18, 𝗔𝗠, Kho Kho A (Mixed 9 + 2 subs - min 2 of each gender) - £33, 𝗔𝗠, Kho Kho B (Mixed 9 + 2 subs - min 2 of each gender) - £33, 𝗔𝗠, Football A (Mens 5 + 3 "&amp;"subs) - £33, 𝗣𝗠, Football B (Mens 5 + 3 subs) - £33, 𝗣𝗠, Kabaddi A (Mens 7 + 2 Subs) - £33, 𝗣𝗠, Kabaddi B (Mens 7 + 2 Subs) - £33, 𝗣𝗠")</f>
        <v>Badminton A (Mixed Doubles - no subs) - £18, 𝗔𝗠, Badminton B (Mixed Doubles - no subs) - £18, 𝗔𝗠, Kho Kho A (Mixed 9 + 2 subs - min 2 of each gender) - £33, 𝗔𝗠, Kho Kho B (Mixed 9 + 2 subs - min 2 of each gender) - £33, 𝗔𝗠, Football A (Mens 5 + 3 subs) - £33, 𝗣𝗠, Football B (Mens 5 + 3 subs) - £33, 𝗣𝗠, Kabaddi A (Mens 7 + 2 Subs) - £33, 𝗣𝗠, Kabaddi B (Mens 7 + 2 Subs) - £33, 𝗣𝗠</v>
      </c>
      <c r="G14" s="20" t="str">
        <f>IFERROR(__xludf.DUMMYFUNCTION("""COMPUTED_VALUE"""),"karthik.venkatesh23@imperial.ac.uk")</f>
        <v>karthik.venkatesh23@imperial.ac.uk</v>
      </c>
      <c r="H14" s="20" t="str">
        <f>IFERROR(__xludf.DUMMYFUNCTION("""COMPUTED_VALUE"""),"07446108841")</f>
        <v>07446108841</v>
      </c>
      <c r="I14" s="20" t="str">
        <f>IFERROR(__xludf.DUMMYFUNCTION("""COMPUTED_VALUE"""),"neela.billur24@imperial.ac.uk")</f>
        <v>neela.billur24@imperial.ac.uk</v>
      </c>
      <c r="J14" s="20" t="str">
        <f>IFERROR(__xludf.DUMMYFUNCTION("""COMPUTED_VALUE"""),"7880 238120")</f>
        <v>7880 238120</v>
      </c>
      <c r="K14" s="20"/>
      <c r="L14" s="21" t="str">
        <f>IFERROR(__xludf.DUMMYFUNCTION("""COMPUTED_VALUE"""),"Yes 🔥")</f>
        <v>Yes 🔥</v>
      </c>
      <c r="M14" s="22" t="b">
        <v>0</v>
      </c>
      <c r="O14" s="22" t="b">
        <v>0</v>
      </c>
      <c r="P14" s="23" t="b">
        <v>0</v>
      </c>
    </row>
    <row r="15" hidden="1">
      <c r="A15" s="24">
        <f>IFERROR(__xludf.DUMMYFUNCTION("""COMPUTED_VALUE"""),45962.94795553241)</f>
        <v>45962.94796</v>
      </c>
      <c r="B15" s="20" t="str">
        <f>IFERROR(__xludf.DUMMYFUNCTION("""COMPUTED_VALUE"""),"Boshupriyo Bijan Mandal")</f>
        <v>Boshupriyo Bijan Mandal</v>
      </c>
      <c r="C15" s="20" t="str">
        <f>IFERROR(__xludf.DUMMYFUNCTION("""COMPUTED_VALUE"""),"Sport coordinator ")</f>
        <v>Sport coordinator </v>
      </c>
      <c r="D15" s="20" t="str">
        <f>IFERROR(__xludf.DUMMYFUNCTION("""COMPUTED_VALUE"""),"London")</f>
        <v>London</v>
      </c>
      <c r="E15" s="20"/>
      <c r="F15" s="20" t="str">
        <f>IFERROR(__xludf.DUMMYFUNCTION("""COMPUTED_VALUE"""),"Badminton A (Mixed Doubles - no subs) - £18, 𝗔𝗠, Badminton B (Mixed Doubles - no subs) - £18, 𝗔𝗠, Netball A (Womens 7 + 3 subs) - £33, 𝗣𝗠, Football A (Mens 5 + 3 subs) - £33, 𝗣𝗠, Football B (Mens 5 + 3 subs) - £33, 𝗣𝗠")</f>
        <v>Badminton A (Mixed Doubles - no subs) - £18, 𝗔𝗠, Badminton B (Mixed Doubles - no subs) - £18, 𝗔𝗠, Netball A (Womens 7 + 3 subs) - £33, 𝗣𝗠, Football A (Mens 5 + 3 subs) - £33, 𝗣𝗠, Football B (Mens 5 + 3 subs) - £33, 𝗣𝗠</v>
      </c>
      <c r="G15" s="20" t="str">
        <f>IFERROR(__xludf.DUMMYFUNCTION("""COMPUTED_VALUE"""),"20boshu05@gmail.com")</f>
        <v>20boshu05@gmail.com</v>
      </c>
      <c r="H15" s="20" t="str">
        <f>IFERROR(__xludf.DUMMYFUNCTION("""COMPUTED_VALUE"""),"07488275942")</f>
        <v>07488275942</v>
      </c>
      <c r="I15" s="20" t="str">
        <f>IFERROR(__xludf.DUMMYFUNCTION("""COMPUTED_VALUE"""),"20boshu05@gmail.com")</f>
        <v>20boshu05@gmail.com</v>
      </c>
      <c r="J15" s="20" t="str">
        <f>IFERROR(__xludf.DUMMYFUNCTION("""COMPUTED_VALUE"""),"7305265464")</f>
        <v>7305265464</v>
      </c>
      <c r="K15" s="20"/>
      <c r="L15" s="21" t="str">
        <f>IFERROR(__xludf.DUMMYFUNCTION("""COMPUTED_VALUE"""),"Yes 🔥")</f>
        <v>Yes 🔥</v>
      </c>
      <c r="M15" s="22" t="b">
        <v>0</v>
      </c>
      <c r="O15" s="22" t="b">
        <v>0</v>
      </c>
      <c r="P15" s="23" t="b">
        <v>0</v>
      </c>
    </row>
    <row r="16" hidden="1">
      <c r="A16" s="24">
        <f>IFERROR(__xludf.DUMMYFUNCTION("""COMPUTED_VALUE"""),45962.96428994213)</f>
        <v>45962.96429</v>
      </c>
      <c r="B16" s="20" t="str">
        <f>IFERROR(__xludf.DUMMYFUNCTION("""COMPUTED_VALUE"""),"Nikita Biju ")</f>
        <v>Nikita Biju </v>
      </c>
      <c r="C16" s="20" t="str">
        <f>IFERROR(__xludf.DUMMYFUNCTION("""COMPUTED_VALUE"""),"Sport")</f>
        <v>Sport</v>
      </c>
      <c r="D16" s="20" t="str">
        <f>IFERROR(__xludf.DUMMYFUNCTION("""COMPUTED_VALUE"""),"London")</f>
        <v>London</v>
      </c>
      <c r="E16" s="20"/>
      <c r="F16" s="20" t="str">
        <f>IFERROR(__xludf.DUMMYFUNCTION("""COMPUTED_VALUE"""),"Badminton A (Mixed Doubles - no subs) - £18, 𝗔𝗠, Badminton B (Mixed Doubles - no subs) - £18, 𝗔𝗠, Netball A (Womens 7 + 3 subs) - £33, 𝗣𝗠, Football A (Mens 5 + 3 subs) - £33, 𝗣𝗠, Kabaddi A (Mens 7 + 2 Subs) - £33, 𝗣𝗠, Kabaddi B (Mens 7 + 2 Subs)"&amp;" - £33, 𝗣𝗠")</f>
        <v>Badminton A (Mixed Doubles - no subs) - £18, 𝗔𝗠, Badminton B (Mixed Doubles - no subs) - £18, 𝗔𝗠, Netball A (Womens 7 + 3 subs) - £33, 𝗣𝗠, Football A (Mens 5 + 3 subs) - £33, 𝗣𝗠, Kabaddi A (Mens 7 + 2 Subs) - £33, 𝗣𝗠, Kabaddi B (Mens 7 + 2 Subs) - £33, 𝗣𝗠</v>
      </c>
      <c r="G16" s="20" t="str">
        <f>IFERROR(__xludf.DUMMYFUNCTION("""COMPUTED_VALUE"""),"nikitabiju2006@gmail.com")</f>
        <v>nikitabiju2006@gmail.com</v>
      </c>
      <c r="H16" s="20" t="str">
        <f>IFERROR(__xludf.DUMMYFUNCTION("""COMPUTED_VALUE"""),"07914152044")</f>
        <v>07914152044</v>
      </c>
      <c r="I16" s="20" t="str">
        <f>IFERROR(__xludf.DUMMYFUNCTION("""COMPUTED_VALUE"""),"siya.ambekar@me.com")</f>
        <v>siya.ambekar@me.com</v>
      </c>
      <c r="J16" s="20" t="str">
        <f>IFERROR(__xludf.DUMMYFUNCTION("""COMPUTED_VALUE"""),"+44 7943 974119")</f>
        <v>+44 7943 974119</v>
      </c>
      <c r="K16" s="20"/>
      <c r="L16" s="21" t="str">
        <f>IFERROR(__xludf.DUMMYFUNCTION("""COMPUTED_VALUE"""),"Of Course 🤩")</f>
        <v>Of Course 🤩</v>
      </c>
      <c r="M16" s="22" t="b">
        <v>0</v>
      </c>
      <c r="O16" s="22" t="b">
        <v>0</v>
      </c>
      <c r="P16" s="23" t="b">
        <v>0</v>
      </c>
    </row>
    <row r="17">
      <c r="A17" s="24">
        <f>IFERROR(__xludf.DUMMYFUNCTION("""COMPUTED_VALUE"""),45962.98798174769)</f>
        <v>45962.98798</v>
      </c>
      <c r="B17" s="20" t="str">
        <f>IFERROR(__xludf.DUMMYFUNCTION("""COMPUTED_VALUE"""),"Tanay")</f>
        <v>Tanay</v>
      </c>
      <c r="C17" s="20" t="str">
        <f>IFERROR(__xludf.DUMMYFUNCTION("""COMPUTED_VALUE"""),"Sports")</f>
        <v>Sports</v>
      </c>
      <c r="D17" s="20" t="str">
        <f>IFERROR(__xludf.DUMMYFUNCTION("""COMPUTED_VALUE"""),"South")</f>
        <v>South</v>
      </c>
      <c r="E17" s="20" t="str">
        <f>IFERROR(__xludf.DUMMYFUNCTION("""COMPUTED_VALUE"""),"Bath")</f>
        <v>Bath</v>
      </c>
      <c r="F17" s="20" t="str">
        <f>IFERROR(__xludf.DUMMYFUNCTION("""COMPUTED_VALUE"""),"Badminton A (Mixed Doubles - no subs) - £18, 𝗔𝗠, Football A (Mens 5 + 3 subs) - £33, 𝗣𝗠")</f>
        <v>Badminton A (Mixed Doubles - no subs) - £18, 𝗔𝗠, Football A (Mens 5 + 3 subs) - £33, 𝗣𝗠</v>
      </c>
      <c r="G17" s="20" t="str">
        <f>IFERROR(__xludf.DUMMYFUNCTION("""COMPUTED_VALUE"""),"Tjr72@bath.ac.uk")</f>
        <v>Tjr72@bath.ac.uk</v>
      </c>
      <c r="H17" s="20" t="str">
        <f>IFERROR(__xludf.DUMMYFUNCTION("""COMPUTED_VALUE"""),"07876660950")</f>
        <v>07876660950</v>
      </c>
      <c r="I17" s="20" t="str">
        <f>IFERROR(__xludf.DUMMYFUNCTION("""COMPUTED_VALUE"""),"krutagnasuresh@gmail.com")</f>
        <v>krutagnasuresh@gmail.com</v>
      </c>
      <c r="J17" s="20" t="str">
        <f>IFERROR(__xludf.DUMMYFUNCTION("""COMPUTED_VALUE"""),"07721057836")</f>
        <v>07721057836</v>
      </c>
      <c r="K17" s="20"/>
      <c r="L17" s="21" t="str">
        <f>IFERROR(__xludf.DUMMYFUNCTION("""COMPUTED_VALUE"""),"Of Course 🤩")</f>
        <v>Of Course 🤩</v>
      </c>
      <c r="M17" s="22" t="b">
        <v>0</v>
      </c>
      <c r="O17" s="22" t="b">
        <v>0</v>
      </c>
      <c r="P17" s="23" t="b">
        <v>0</v>
      </c>
    </row>
    <row r="18" hidden="1">
      <c r="A18" s="24">
        <f>IFERROR(__xludf.DUMMYFUNCTION("""COMPUTED_VALUE"""),45962.994435914356)</f>
        <v>45962.99444</v>
      </c>
      <c r="B18" s="20" t="str">
        <f>IFERROR(__xludf.DUMMYFUNCTION("""COMPUTED_VALUE"""),"Varun Shivakumar")</f>
        <v>Varun Shivakumar</v>
      </c>
      <c r="C18" s="20" t="str">
        <f>IFERROR(__xludf.DUMMYFUNCTION("""COMPUTED_VALUE"""),"Events Coordinator ")</f>
        <v>Events Coordinator </v>
      </c>
      <c r="D18" s="20" t="str">
        <f>IFERROR(__xludf.DUMMYFUNCTION("""COMPUTED_VALUE"""),"London")</f>
        <v>London</v>
      </c>
      <c r="E18" s="20"/>
      <c r="F18" s="20" t="str">
        <f>IFERROR(__xludf.DUMMYFUNCTION("""COMPUTED_VALUE"""),"Badminton A (Mixed Doubles - no subs) - £18, 𝗔𝗠, Kho Kho B (Mixed 9 + 2 subs - min 2 of each gender) - £33, 𝗔𝗠, Netball B (Womens 7 + 3 subs) - £33, 𝗣𝗠, Football A (Mens 5 + 3 subs) - £33, 𝗣𝗠, Kabaddi B (Mens 7 + 2 Subs) - £33, 𝗣𝗠")</f>
        <v>Badminton A (Mixed Doubles - no subs) - £18, 𝗔𝗠, Kho Kho B (Mixed 9 + 2 subs - min 2 of each gender) - £33, 𝗔𝗠, Netball B (Womens 7 + 3 subs) - £33, 𝗣𝗠, Football A (Mens 5 + 3 subs) - £33, 𝗣𝗠, Kabaddi B (Mens 7 + 2 Subs) - £33, 𝗣𝗠</v>
      </c>
      <c r="G18" s="20" t="str">
        <f>IFERROR(__xludf.DUMMYFUNCTION("""COMPUTED_VALUE"""),"varun6223@gmail.com")</f>
        <v>varun6223@gmail.com</v>
      </c>
      <c r="H18" s="20" t="str">
        <f>IFERROR(__xludf.DUMMYFUNCTION("""COMPUTED_VALUE"""),"7769413128")</f>
        <v>7769413128</v>
      </c>
      <c r="I18" s="20" t="str">
        <f>IFERROR(__xludf.DUMMYFUNCTION("""COMPUTED_VALUE"""),"schandarana01@gmail.com")</f>
        <v>schandarana01@gmail.com</v>
      </c>
      <c r="J18" s="20" t="str">
        <f>IFERROR(__xludf.DUMMYFUNCTION("""COMPUTED_VALUE"""),"+44 7977 336531")</f>
        <v>+44 7977 336531</v>
      </c>
      <c r="K18" s="20"/>
      <c r="L18" s="21" t="str">
        <f>IFERROR(__xludf.DUMMYFUNCTION("""COMPUTED_VALUE"""),"Of Course 🤩")</f>
        <v>Of Course 🤩</v>
      </c>
      <c r="M18" s="22" t="b">
        <v>0</v>
      </c>
      <c r="O18" s="22" t="b">
        <v>0</v>
      </c>
      <c r="P18" s="23" t="b">
        <v>0</v>
      </c>
    </row>
    <row r="19">
      <c r="A19" s="24">
        <f>IFERROR(__xludf.DUMMYFUNCTION("""COMPUTED_VALUE"""),45963.14898618056)</f>
        <v>45963.14899</v>
      </c>
      <c r="B19" s="20" t="str">
        <f>IFERROR(__xludf.DUMMYFUNCTION("""COMPUTED_VALUE"""),"Abhimanyu Tyagi")</f>
        <v>Abhimanyu Tyagi</v>
      </c>
      <c r="C19" s="20" t="str">
        <f>IFERROR(__xludf.DUMMYFUNCTION("""COMPUTED_VALUE"""),"Football Rep")</f>
        <v>Football Rep</v>
      </c>
      <c r="D19" s="20" t="str">
        <f>IFERROR(__xludf.DUMMYFUNCTION("""COMPUTED_VALUE"""),"South")</f>
        <v>South</v>
      </c>
      <c r="E19" s="20" t="str">
        <f>IFERROR(__xludf.DUMMYFUNCTION("""COMPUTED_VALUE"""),"Southampton")</f>
        <v>Southampton</v>
      </c>
      <c r="F19" s="20" t="str">
        <f>IFERROR(__xludf.DUMMYFUNCTION("""COMPUTED_VALUE"""),"Football A (Mens 5 + 3 subs) - £33, 𝗣𝗠")</f>
        <v>Football A (Mens 5 + 3 subs) - £33, 𝗣𝗠</v>
      </c>
      <c r="G19" s="20" t="str">
        <f>IFERROR(__xludf.DUMMYFUNCTION("""COMPUTED_VALUE"""),"at16g24&amp;soton.ac.uk")</f>
        <v>at16g24&amp;soton.ac.uk</v>
      </c>
      <c r="H19" s="20" t="str">
        <f>IFERROR(__xludf.DUMMYFUNCTION("""COMPUTED_VALUE"""),"079572965;2")</f>
        <v>079572965;2</v>
      </c>
      <c r="I19" s="20" t="str">
        <f>IFERROR(__xludf.DUMMYFUNCTION("""COMPUTED_VALUE"""),"07421520335")</f>
        <v>07421520335</v>
      </c>
      <c r="J19" s="20" t="str">
        <f>IFERROR(__xludf.DUMMYFUNCTION("""COMPUTED_VALUE"""),"7411520335")</f>
        <v>7411520335</v>
      </c>
      <c r="K19" s="20" t="str">
        <f>IFERROR(__xludf.DUMMYFUNCTION("""COMPUTED_VALUE"""),"No")</f>
        <v>No</v>
      </c>
      <c r="L19" s="21" t="str">
        <f>IFERROR(__xludf.DUMMYFUNCTION("""COMPUTED_VALUE"""),"Yes 🔥")</f>
        <v>Yes 🔥</v>
      </c>
      <c r="M19" s="22" t="b">
        <v>0</v>
      </c>
      <c r="O19" s="22" t="b">
        <v>0</v>
      </c>
      <c r="P19" s="23" t="b">
        <v>0</v>
      </c>
    </row>
    <row r="20" hidden="1">
      <c r="A20" s="24">
        <f>IFERROR(__xludf.DUMMYFUNCTION("""COMPUTED_VALUE"""),45964.57937820602)</f>
        <v>45964.57938</v>
      </c>
      <c r="B20" s="20" t="str">
        <f>IFERROR(__xludf.DUMMYFUNCTION("""COMPUTED_VALUE"""),"Shiv Patel")</f>
        <v>Shiv Patel</v>
      </c>
      <c r="C20" s="20" t="str">
        <f>IFERROR(__xludf.DUMMYFUNCTION("""COMPUTED_VALUE"""),"Football sports coordinator ")</f>
        <v>Football sports coordinator </v>
      </c>
      <c r="D20" s="20" t="str">
        <f>IFERROR(__xludf.DUMMYFUNCTION("""COMPUTED_VALUE"""),"London")</f>
        <v>London</v>
      </c>
      <c r="E20" s="20"/>
      <c r="F20" s="20" t="str">
        <f>IFERROR(__xludf.DUMMYFUNCTION("""COMPUTED_VALUE"""),"Football A (Mens 5 + 3 subs) - £33, 𝗣𝗠")</f>
        <v>Football A (Mens 5 + 3 subs) - £33, 𝗣𝗠</v>
      </c>
      <c r="G20" s="20" t="str">
        <f>IFERROR(__xludf.DUMMYFUNCTION("""COMPUTED_VALUE"""),"Sp1824@ic.ac.uk")</f>
        <v>Sp1824@ic.ac.uk</v>
      </c>
      <c r="H20" s="20" t="str">
        <f>IFERROR(__xludf.DUMMYFUNCTION("""COMPUTED_VALUE"""),"07421727340")</f>
        <v>07421727340</v>
      </c>
      <c r="I20" s="20" t="str">
        <f>IFERROR(__xludf.DUMMYFUNCTION("""COMPUTED_VALUE"""),"karthik.venkatesh23@imperial.ac.uk")</f>
        <v>karthik.venkatesh23@imperial.ac.uk</v>
      </c>
      <c r="J20" s="20" t="str">
        <f>IFERROR(__xludf.DUMMYFUNCTION("""COMPUTED_VALUE"""),"‪07446108841‬")</f>
        <v>‪07446108841‬</v>
      </c>
      <c r="K20" s="20" t="str">
        <f>IFERROR(__xludf.DUMMYFUNCTION("""COMPUTED_VALUE"""),"No")</f>
        <v>No</v>
      </c>
      <c r="L20" s="21" t="str">
        <f>IFERROR(__xludf.DUMMYFUNCTION("""COMPUTED_VALUE"""),"Yes 🔥")</f>
        <v>Yes 🔥</v>
      </c>
      <c r="M20" s="22" t="b">
        <v>0</v>
      </c>
      <c r="O20" s="22" t="b">
        <v>0</v>
      </c>
      <c r="P20" s="23" t="b">
        <v>0</v>
      </c>
    </row>
    <row r="21" hidden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1"/>
      <c r="M21" s="22" t="b">
        <v>0</v>
      </c>
      <c r="O21" s="22" t="b">
        <v>0</v>
      </c>
      <c r="P21" s="23" t="b">
        <v>0</v>
      </c>
    </row>
    <row r="22" hidden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1"/>
      <c r="M22" s="22" t="b">
        <v>0</v>
      </c>
      <c r="O22" s="22" t="b">
        <v>0</v>
      </c>
      <c r="P22" s="23" t="b">
        <v>0</v>
      </c>
    </row>
    <row r="23" hidden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1"/>
      <c r="M23" s="22" t="b">
        <v>0</v>
      </c>
      <c r="O23" s="22" t="b">
        <v>0</v>
      </c>
      <c r="P23" s="23" t="b">
        <v>0</v>
      </c>
    </row>
    <row r="24" hidden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1"/>
      <c r="M24" s="22" t="b">
        <v>0</v>
      </c>
      <c r="O24" s="22" t="b">
        <v>0</v>
      </c>
      <c r="P24" s="23" t="b">
        <v>0</v>
      </c>
    </row>
    <row r="25" hidden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1"/>
      <c r="M25" s="22" t="b">
        <v>0</v>
      </c>
      <c r="O25" s="22" t="b">
        <v>0</v>
      </c>
      <c r="P25" s="23" t="b">
        <v>0</v>
      </c>
    </row>
    <row r="26" hidden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1"/>
      <c r="M26" s="22" t="b">
        <v>0</v>
      </c>
      <c r="O26" s="22" t="b">
        <v>0</v>
      </c>
      <c r="P26" s="23" t="b">
        <v>0</v>
      </c>
    </row>
    <row r="27" hidden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1"/>
      <c r="M27" s="22" t="b">
        <v>0</v>
      </c>
      <c r="O27" s="22" t="b">
        <v>0</v>
      </c>
      <c r="P27" s="23" t="b">
        <v>0</v>
      </c>
    </row>
    <row r="28" hidden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1"/>
      <c r="M28" s="22" t="b">
        <v>0</v>
      </c>
      <c r="O28" s="22" t="b">
        <v>0</v>
      </c>
      <c r="P28" s="23" t="b">
        <v>0</v>
      </c>
    </row>
    <row r="29" hidden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1"/>
      <c r="M29" s="22" t="b">
        <v>0</v>
      </c>
      <c r="O29" s="22" t="b">
        <v>0</v>
      </c>
      <c r="P29" s="23" t="b">
        <v>0</v>
      </c>
    </row>
    <row r="30" hidden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/>
      <c r="M30" s="22" t="b">
        <v>0</v>
      </c>
      <c r="O30" s="22" t="b">
        <v>0</v>
      </c>
      <c r="P30" s="23" t="b">
        <v>0</v>
      </c>
    </row>
    <row r="31" hidden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1"/>
      <c r="M31" s="22" t="b">
        <v>0</v>
      </c>
      <c r="O31" s="22" t="b">
        <v>0</v>
      </c>
      <c r="P31" s="23" t="b">
        <v>0</v>
      </c>
    </row>
    <row r="32" hidden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1"/>
      <c r="M32" s="22" t="b">
        <v>0</v>
      </c>
      <c r="O32" s="22" t="b">
        <v>0</v>
      </c>
      <c r="P32" s="23" t="b">
        <v>0</v>
      </c>
    </row>
    <row r="33" hidden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1"/>
      <c r="M33" s="22" t="b">
        <v>0</v>
      </c>
      <c r="O33" s="22" t="b">
        <v>0</v>
      </c>
      <c r="P33" s="23" t="b">
        <v>0</v>
      </c>
    </row>
    <row r="34" hidden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1"/>
      <c r="M34" s="22" t="b">
        <v>0</v>
      </c>
      <c r="O34" s="22" t="b">
        <v>0</v>
      </c>
      <c r="P34" s="23" t="b">
        <v>0</v>
      </c>
    </row>
    <row r="35" hidden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1"/>
      <c r="M35" s="22" t="b">
        <v>0</v>
      </c>
      <c r="O35" s="22" t="b">
        <v>0</v>
      </c>
      <c r="P35" s="23" t="b">
        <v>0</v>
      </c>
    </row>
    <row r="36" hidden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1"/>
      <c r="M36" s="22" t="b">
        <v>0</v>
      </c>
      <c r="O36" s="22" t="b">
        <v>0</v>
      </c>
      <c r="P36" s="23" t="b">
        <v>0</v>
      </c>
    </row>
    <row r="37" hidden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1"/>
      <c r="M37" s="22" t="b">
        <v>0</v>
      </c>
      <c r="O37" s="22" t="b">
        <v>0</v>
      </c>
      <c r="P37" s="23" t="b">
        <v>0</v>
      </c>
    </row>
    <row r="38" hidden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1"/>
      <c r="M38" s="22" t="b">
        <v>0</v>
      </c>
      <c r="O38" s="22" t="b">
        <v>0</v>
      </c>
      <c r="P38" s="23" t="b">
        <v>0</v>
      </c>
    </row>
    <row r="39" hidden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1"/>
      <c r="M39" s="22" t="b">
        <v>0</v>
      </c>
      <c r="O39" s="22" t="b">
        <v>0</v>
      </c>
      <c r="P39" s="23" t="b">
        <v>0</v>
      </c>
    </row>
    <row r="40" hidden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1"/>
      <c r="M40" s="22" t="b">
        <v>0</v>
      </c>
      <c r="O40" s="22" t="b">
        <v>0</v>
      </c>
      <c r="P40" s="23" t="b">
        <v>0</v>
      </c>
    </row>
    <row r="41" hidden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1"/>
      <c r="M41" s="22" t="b">
        <v>0</v>
      </c>
      <c r="O41" s="22" t="b">
        <v>0</v>
      </c>
      <c r="P41" s="23" t="b">
        <v>0</v>
      </c>
    </row>
    <row r="42" hidden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1"/>
      <c r="M42" s="22" t="b">
        <v>0</v>
      </c>
      <c r="O42" s="22" t="b">
        <v>0</v>
      </c>
      <c r="P42" s="23" t="b">
        <v>0</v>
      </c>
    </row>
    <row r="43" hidden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1"/>
      <c r="M43" s="22" t="b">
        <v>0</v>
      </c>
      <c r="O43" s="22" t="b">
        <v>0</v>
      </c>
      <c r="P43" s="23" t="b">
        <v>0</v>
      </c>
    </row>
    <row r="44" hidden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1"/>
      <c r="M44" s="22" t="b">
        <v>0</v>
      </c>
      <c r="O44" s="22" t="b">
        <v>0</v>
      </c>
      <c r="P44" s="23" t="b">
        <v>0</v>
      </c>
    </row>
    <row r="45" hidden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1"/>
      <c r="M45" s="22" t="b">
        <v>0</v>
      </c>
      <c r="O45" s="22" t="b">
        <v>0</v>
      </c>
      <c r="P45" s="23" t="b">
        <v>0</v>
      </c>
    </row>
    <row r="46" hidden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1"/>
      <c r="M46" s="22" t="b">
        <v>0</v>
      </c>
      <c r="O46" s="22" t="b">
        <v>0</v>
      </c>
      <c r="P46" s="23" t="b">
        <v>0</v>
      </c>
    </row>
    <row r="47" hidden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1"/>
      <c r="M47" s="22" t="b">
        <v>0</v>
      </c>
      <c r="O47" s="22" t="b">
        <v>0</v>
      </c>
      <c r="P47" s="23" t="b">
        <v>0</v>
      </c>
    </row>
    <row r="48" hidden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1"/>
      <c r="M48" s="22" t="b">
        <v>0</v>
      </c>
      <c r="O48" s="22" t="b">
        <v>0</v>
      </c>
      <c r="P48" s="23" t="b">
        <v>0</v>
      </c>
    </row>
    <row r="49" hidden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1"/>
      <c r="M49" s="22" t="b">
        <v>0</v>
      </c>
      <c r="O49" s="22" t="b">
        <v>0</v>
      </c>
      <c r="P49" s="23" t="b">
        <v>0</v>
      </c>
    </row>
    <row r="50" hidden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1"/>
      <c r="M50" s="22" t="b">
        <v>0</v>
      </c>
      <c r="O50" s="22" t="b">
        <v>0</v>
      </c>
      <c r="P50" s="23" t="b">
        <v>0</v>
      </c>
    </row>
    <row r="51" hidden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1"/>
      <c r="M51" s="22" t="b">
        <v>0</v>
      </c>
      <c r="O51" s="22" t="b">
        <v>0</v>
      </c>
      <c r="P51" s="23" t="b">
        <v>0</v>
      </c>
    </row>
    <row r="52" hidden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1"/>
      <c r="M52" s="22" t="b">
        <v>0</v>
      </c>
      <c r="O52" s="22" t="b">
        <v>0</v>
      </c>
      <c r="P52" s="23" t="b">
        <v>0</v>
      </c>
    </row>
    <row r="53" hidden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1"/>
      <c r="M53" s="22" t="b">
        <v>0</v>
      </c>
      <c r="O53" s="22" t="b">
        <v>0</v>
      </c>
      <c r="P53" s="23" t="b">
        <v>0</v>
      </c>
    </row>
    <row r="54" hidden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1"/>
      <c r="M54" s="22" t="b">
        <v>0</v>
      </c>
      <c r="O54" s="22" t="b">
        <v>0</v>
      </c>
      <c r="P54" s="23" t="b">
        <v>0</v>
      </c>
    </row>
    <row r="55" hidden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1"/>
      <c r="M55" s="22" t="b">
        <v>0</v>
      </c>
      <c r="O55" s="22" t="b">
        <v>0</v>
      </c>
      <c r="P55" s="23" t="b">
        <v>0</v>
      </c>
    </row>
    <row r="56" hidden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1"/>
      <c r="M56" s="22" t="b">
        <v>0</v>
      </c>
      <c r="O56" s="22" t="b">
        <v>0</v>
      </c>
      <c r="P56" s="23" t="b">
        <v>0</v>
      </c>
    </row>
    <row r="57" hidden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1"/>
      <c r="M57" s="22" t="b">
        <v>0</v>
      </c>
      <c r="O57" s="22" t="b">
        <v>0</v>
      </c>
      <c r="P57" s="23" t="b">
        <v>0</v>
      </c>
    </row>
    <row r="58" hidden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1"/>
      <c r="M58" s="22" t="b">
        <v>0</v>
      </c>
      <c r="O58" s="22" t="b">
        <v>0</v>
      </c>
      <c r="P58" s="23" t="b">
        <v>0</v>
      </c>
    </row>
    <row r="59" hidden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1"/>
      <c r="M59" s="22" t="b">
        <v>0</v>
      </c>
      <c r="O59" s="22" t="b">
        <v>0</v>
      </c>
      <c r="P59" s="23" t="b">
        <v>0</v>
      </c>
    </row>
    <row r="60" hidden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1"/>
      <c r="M60" s="22" t="b">
        <v>0</v>
      </c>
      <c r="O60" s="22" t="b">
        <v>0</v>
      </c>
      <c r="P60" s="23" t="b">
        <v>0</v>
      </c>
    </row>
    <row r="61" hidden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1"/>
      <c r="M61" s="22" t="b">
        <v>0</v>
      </c>
      <c r="O61" s="22" t="b">
        <v>0</v>
      </c>
      <c r="P61" s="23" t="b">
        <v>0</v>
      </c>
    </row>
    <row r="62" hidden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1"/>
      <c r="M62" s="22" t="b">
        <v>0</v>
      </c>
      <c r="O62" s="22" t="b">
        <v>0</v>
      </c>
      <c r="P62" s="23" t="b">
        <v>0</v>
      </c>
    </row>
    <row r="63" hidden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1"/>
      <c r="M63" s="22" t="b">
        <v>0</v>
      </c>
      <c r="O63" s="22" t="b">
        <v>0</v>
      </c>
      <c r="P63" s="23" t="b">
        <v>0</v>
      </c>
    </row>
    <row r="64" hidden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1"/>
      <c r="M64" s="22" t="b">
        <v>0</v>
      </c>
      <c r="O64" s="22" t="b">
        <v>0</v>
      </c>
      <c r="P64" s="23" t="b">
        <v>0</v>
      </c>
    </row>
    <row r="65" hidden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1"/>
      <c r="M65" s="22" t="b">
        <v>0</v>
      </c>
      <c r="O65" s="22" t="b">
        <v>0</v>
      </c>
      <c r="P65" s="23" t="b">
        <v>0</v>
      </c>
    </row>
    <row r="66" hidden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1"/>
      <c r="M66" s="22" t="b">
        <v>0</v>
      </c>
      <c r="O66" s="22" t="b">
        <v>0</v>
      </c>
      <c r="P66" s="23" t="b">
        <v>0</v>
      </c>
    </row>
    <row r="67" hidden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1"/>
      <c r="M67" s="22" t="b">
        <v>0</v>
      </c>
      <c r="O67" s="22" t="b">
        <v>0</v>
      </c>
      <c r="P67" s="23" t="b">
        <v>0</v>
      </c>
    </row>
    <row r="68" hidden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1"/>
      <c r="M68" s="22" t="b">
        <v>0</v>
      </c>
      <c r="O68" s="22" t="b">
        <v>0</v>
      </c>
      <c r="P68" s="23" t="b">
        <v>0</v>
      </c>
    </row>
    <row r="69" hidden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1"/>
      <c r="M69" s="22" t="b">
        <v>0</v>
      </c>
      <c r="O69" s="22" t="b">
        <v>0</v>
      </c>
      <c r="P69" s="23" t="b">
        <v>0</v>
      </c>
    </row>
    <row r="70" hidden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1"/>
      <c r="M70" s="22" t="b">
        <v>0</v>
      </c>
      <c r="O70" s="22" t="b">
        <v>0</v>
      </c>
      <c r="P70" s="23" t="b">
        <v>0</v>
      </c>
    </row>
    <row r="71" hidden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1"/>
      <c r="M71" s="22" t="b">
        <v>0</v>
      </c>
      <c r="O71" s="22" t="b">
        <v>0</v>
      </c>
      <c r="P71" s="23" t="b">
        <v>0</v>
      </c>
    </row>
    <row r="72" hidden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1"/>
      <c r="M72" s="22" t="b">
        <v>0</v>
      </c>
      <c r="O72" s="22" t="b">
        <v>0</v>
      </c>
      <c r="P72" s="23" t="b">
        <v>0</v>
      </c>
    </row>
    <row r="73" hidden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1"/>
      <c r="M73" s="22" t="b">
        <v>0</v>
      </c>
      <c r="O73" s="22" t="b">
        <v>0</v>
      </c>
      <c r="P73" s="23" t="b">
        <v>0</v>
      </c>
    </row>
    <row r="74" hidden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1"/>
      <c r="M74" s="22" t="b">
        <v>0</v>
      </c>
      <c r="O74" s="22" t="b">
        <v>0</v>
      </c>
      <c r="P74" s="23" t="b">
        <v>0</v>
      </c>
    </row>
    <row r="75" hidden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1"/>
      <c r="M75" s="22" t="b">
        <v>0</v>
      </c>
      <c r="O75" s="22" t="b">
        <v>0</v>
      </c>
      <c r="P75" s="23" t="b">
        <v>0</v>
      </c>
    </row>
    <row r="76" hidden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1"/>
      <c r="M76" s="22" t="b">
        <v>0</v>
      </c>
      <c r="O76" s="22" t="b">
        <v>0</v>
      </c>
      <c r="P76" s="23" t="b">
        <v>0</v>
      </c>
    </row>
    <row r="77" hidden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1"/>
      <c r="M77" s="22" t="b">
        <v>0</v>
      </c>
      <c r="O77" s="22" t="b">
        <v>0</v>
      </c>
      <c r="P77" s="23" t="b">
        <v>0</v>
      </c>
    </row>
    <row r="78" hidden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1"/>
      <c r="M78" s="22" t="b">
        <v>0</v>
      </c>
      <c r="O78" s="22" t="b">
        <v>0</v>
      </c>
      <c r="P78" s="23" t="b">
        <v>0</v>
      </c>
    </row>
    <row r="79" hidden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1"/>
      <c r="M79" s="22" t="b">
        <v>0</v>
      </c>
      <c r="O79" s="22" t="b">
        <v>0</v>
      </c>
      <c r="P79" s="23" t="b">
        <v>0</v>
      </c>
    </row>
    <row r="80" hidden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1"/>
      <c r="M80" s="22" t="b">
        <v>0</v>
      </c>
      <c r="O80" s="22" t="b">
        <v>0</v>
      </c>
      <c r="P80" s="23" t="b">
        <v>0</v>
      </c>
    </row>
    <row r="81" hidden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1"/>
      <c r="M81" s="22" t="b">
        <v>0</v>
      </c>
      <c r="O81" s="22" t="b">
        <v>0</v>
      </c>
      <c r="P81" s="23" t="b">
        <v>0</v>
      </c>
    </row>
    <row r="82" hidden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1"/>
      <c r="M82" s="22" t="b">
        <v>0</v>
      </c>
      <c r="O82" s="22" t="b">
        <v>0</v>
      </c>
      <c r="P82" s="23" t="b">
        <v>0</v>
      </c>
    </row>
    <row r="83" hidden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1"/>
      <c r="M83" s="22" t="b">
        <v>0</v>
      </c>
      <c r="O83" s="22" t="b">
        <v>0</v>
      </c>
      <c r="P83" s="23" t="b">
        <v>0</v>
      </c>
    </row>
    <row r="84" hidden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1"/>
      <c r="M84" s="22" t="b">
        <v>0</v>
      </c>
      <c r="O84" s="22" t="b">
        <v>0</v>
      </c>
      <c r="P84" s="23" t="b">
        <v>0</v>
      </c>
    </row>
    <row r="85" hidden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1"/>
      <c r="M85" s="22" t="b">
        <v>0</v>
      </c>
      <c r="O85" s="22" t="b">
        <v>0</v>
      </c>
      <c r="P85" s="23" t="b">
        <v>0</v>
      </c>
    </row>
    <row r="86" hidden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1"/>
      <c r="M86" s="22" t="b">
        <v>0</v>
      </c>
      <c r="O86" s="22" t="b">
        <v>0</v>
      </c>
      <c r="P86" s="23" t="b">
        <v>0</v>
      </c>
    </row>
    <row r="87" hidden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1"/>
      <c r="M87" s="22" t="b">
        <v>0</v>
      </c>
      <c r="O87" s="22" t="b">
        <v>0</v>
      </c>
      <c r="P87" s="23" t="b">
        <v>0</v>
      </c>
    </row>
    <row r="88" hidden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1"/>
      <c r="M88" s="22" t="b">
        <v>0</v>
      </c>
      <c r="O88" s="22" t="b">
        <v>0</v>
      </c>
      <c r="P88" s="23" t="b">
        <v>0</v>
      </c>
    </row>
    <row r="89" hidden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1"/>
      <c r="M89" s="22" t="b">
        <v>0</v>
      </c>
      <c r="O89" s="22" t="b">
        <v>0</v>
      </c>
      <c r="P89" s="23" t="b">
        <v>0</v>
      </c>
    </row>
    <row r="90" hidden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1"/>
      <c r="M90" s="22" t="b">
        <v>0</v>
      </c>
      <c r="O90" s="22" t="b">
        <v>0</v>
      </c>
      <c r="P90" s="23" t="b">
        <v>0</v>
      </c>
    </row>
    <row r="91" hidden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1"/>
      <c r="M91" s="22" t="b">
        <v>0</v>
      </c>
      <c r="O91" s="22" t="b">
        <v>0</v>
      </c>
      <c r="P91" s="23" t="b">
        <v>0</v>
      </c>
    </row>
    <row r="92" hidden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1"/>
      <c r="M92" s="22" t="b">
        <v>0</v>
      </c>
      <c r="O92" s="22" t="b">
        <v>0</v>
      </c>
      <c r="P92" s="23" t="b">
        <v>0</v>
      </c>
    </row>
    <row r="93" hidden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1"/>
      <c r="M93" s="22" t="b">
        <v>0</v>
      </c>
      <c r="O93" s="22" t="b">
        <v>0</v>
      </c>
      <c r="P93" s="23" t="b">
        <v>0</v>
      </c>
    </row>
    <row r="94" hidden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1"/>
      <c r="M94" s="22" t="b">
        <v>0</v>
      </c>
      <c r="O94" s="22" t="b">
        <v>0</v>
      </c>
      <c r="P94" s="23" t="b">
        <v>0</v>
      </c>
    </row>
    <row r="95" hidden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1"/>
      <c r="M95" s="22" t="b">
        <v>0</v>
      </c>
      <c r="O95" s="22" t="b">
        <v>0</v>
      </c>
      <c r="P95" s="23" t="b">
        <v>0</v>
      </c>
    </row>
    <row r="96" hidden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1"/>
      <c r="M96" s="22" t="b">
        <v>0</v>
      </c>
      <c r="O96" s="22" t="b">
        <v>0</v>
      </c>
      <c r="P96" s="23" t="b">
        <v>0</v>
      </c>
    </row>
    <row r="97" hidden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1"/>
      <c r="M97" s="22" t="b">
        <v>0</v>
      </c>
      <c r="O97" s="22" t="b">
        <v>0</v>
      </c>
      <c r="P97" s="23" t="b">
        <v>0</v>
      </c>
    </row>
    <row r="98" hidden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1"/>
      <c r="M98" s="22" t="b">
        <v>0</v>
      </c>
      <c r="O98" s="22" t="b">
        <v>0</v>
      </c>
      <c r="P98" s="23" t="b">
        <v>0</v>
      </c>
    </row>
    <row r="99" hidden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1"/>
      <c r="M99" s="22" t="b">
        <v>0</v>
      </c>
      <c r="O99" s="22" t="b">
        <v>0</v>
      </c>
      <c r="P99" s="23" t="b">
        <v>0</v>
      </c>
    </row>
    <row r="100" hidden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1"/>
      <c r="M100" s="22" t="b">
        <v>0</v>
      </c>
      <c r="O100" s="22" t="b">
        <v>0</v>
      </c>
      <c r="P100" s="23" t="b">
        <v>0</v>
      </c>
    </row>
    <row r="101" hidden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1"/>
      <c r="M101" s="22" t="b">
        <v>0</v>
      </c>
      <c r="O101" s="22" t="b">
        <v>0</v>
      </c>
      <c r="P101" s="23" t="b">
        <v>0</v>
      </c>
    </row>
    <row r="102" hidden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1"/>
      <c r="M102" s="22" t="b">
        <v>0</v>
      </c>
      <c r="O102" s="22" t="b">
        <v>0</v>
      </c>
      <c r="P102" s="23" t="b">
        <v>0</v>
      </c>
    </row>
    <row r="103" hidden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1"/>
      <c r="M103" s="22" t="b">
        <v>0</v>
      </c>
      <c r="O103" s="22" t="b">
        <v>0</v>
      </c>
      <c r="P103" s="23" t="b">
        <v>0</v>
      </c>
    </row>
    <row r="104" hidden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1"/>
      <c r="M104" s="22" t="b">
        <v>0</v>
      </c>
      <c r="O104" s="22" t="b">
        <v>0</v>
      </c>
      <c r="P104" s="23" t="b">
        <v>0</v>
      </c>
    </row>
    <row r="105" hidden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1"/>
      <c r="M105" s="22" t="b">
        <v>0</v>
      </c>
      <c r="O105" s="22" t="b">
        <v>0</v>
      </c>
      <c r="P105" s="23" t="b">
        <v>0</v>
      </c>
    </row>
    <row r="106" hidden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1"/>
      <c r="M106" s="22" t="b">
        <v>0</v>
      </c>
      <c r="O106" s="22" t="b">
        <v>0</v>
      </c>
      <c r="P106" s="23" t="b">
        <v>0</v>
      </c>
    </row>
    <row r="107" hidden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1"/>
      <c r="M107" s="22" t="b">
        <v>0</v>
      </c>
      <c r="O107" s="22" t="b">
        <v>0</v>
      </c>
      <c r="P107" s="23" t="b">
        <v>0</v>
      </c>
    </row>
    <row r="108" hidden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1"/>
      <c r="M108" s="22" t="b">
        <v>0</v>
      </c>
      <c r="O108" s="22" t="b">
        <v>0</v>
      </c>
      <c r="P108" s="23" t="b">
        <v>0</v>
      </c>
    </row>
    <row r="109" hidden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1"/>
      <c r="M109" s="22" t="b">
        <v>0</v>
      </c>
      <c r="O109" s="22" t="b">
        <v>0</v>
      </c>
      <c r="P109" s="23" t="b">
        <v>0</v>
      </c>
    </row>
    <row r="110" hidden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1"/>
      <c r="M110" s="22" t="b">
        <v>0</v>
      </c>
      <c r="O110" s="22" t="b">
        <v>0</v>
      </c>
      <c r="P110" s="23" t="b">
        <v>0</v>
      </c>
    </row>
    <row r="111" hidden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1"/>
      <c r="M111" s="22" t="b">
        <v>0</v>
      </c>
      <c r="O111" s="22" t="b">
        <v>0</v>
      </c>
      <c r="P111" s="23" t="b">
        <v>0</v>
      </c>
    </row>
    <row r="112" hidden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1"/>
      <c r="M112" s="22" t="b">
        <v>0</v>
      </c>
      <c r="O112" s="22" t="b">
        <v>0</v>
      </c>
      <c r="P112" s="23" t="b">
        <v>0</v>
      </c>
    </row>
    <row r="113" hidden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1"/>
      <c r="M113" s="22" t="b">
        <v>0</v>
      </c>
      <c r="O113" s="22" t="b">
        <v>0</v>
      </c>
      <c r="P113" s="23" t="b">
        <v>0</v>
      </c>
    </row>
    <row r="114" hidden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1"/>
      <c r="M114" s="22" t="b">
        <v>0</v>
      </c>
      <c r="O114" s="22" t="b">
        <v>0</v>
      </c>
      <c r="P114" s="23" t="b">
        <v>0</v>
      </c>
    </row>
    <row r="115" hidden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1"/>
      <c r="M115" s="22" t="b">
        <v>0</v>
      </c>
      <c r="O115" s="22" t="b">
        <v>0</v>
      </c>
      <c r="P115" s="23" t="b">
        <v>0</v>
      </c>
    </row>
    <row r="116" hidden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1"/>
      <c r="M116" s="22" t="b">
        <v>0</v>
      </c>
      <c r="O116" s="22" t="b">
        <v>0</v>
      </c>
      <c r="P116" s="23" t="b">
        <v>0</v>
      </c>
    </row>
    <row r="117" hidden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1"/>
      <c r="M117" s="22" t="b">
        <v>0</v>
      </c>
      <c r="O117" s="22" t="b">
        <v>0</v>
      </c>
      <c r="P117" s="23" t="b">
        <v>0</v>
      </c>
    </row>
    <row r="118" hidden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1"/>
      <c r="M118" s="22" t="b">
        <v>0</v>
      </c>
      <c r="O118" s="22" t="b">
        <v>0</v>
      </c>
      <c r="P118" s="23" t="b">
        <v>0</v>
      </c>
    </row>
    <row r="119" hidden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1"/>
      <c r="M119" s="22" t="b">
        <v>0</v>
      </c>
      <c r="O119" s="22" t="b">
        <v>0</v>
      </c>
      <c r="P119" s="23" t="b">
        <v>0</v>
      </c>
    </row>
    <row r="120" hidden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1"/>
      <c r="M120" s="22" t="b">
        <v>0</v>
      </c>
      <c r="O120" s="22" t="b">
        <v>0</v>
      </c>
      <c r="P120" s="23" t="b">
        <v>0</v>
      </c>
    </row>
    <row r="121" hidden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1"/>
      <c r="M121" s="22" t="b">
        <v>0</v>
      </c>
      <c r="O121" s="22" t="b">
        <v>0</v>
      </c>
      <c r="P121" s="23" t="b">
        <v>0</v>
      </c>
    </row>
    <row r="122" hidden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1"/>
      <c r="M122" s="22" t="b">
        <v>0</v>
      </c>
      <c r="O122" s="22" t="b">
        <v>0</v>
      </c>
      <c r="P122" s="23" t="b">
        <v>0</v>
      </c>
    </row>
    <row r="123" hidden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1"/>
      <c r="M123" s="22" t="b">
        <v>0</v>
      </c>
      <c r="O123" s="22" t="b">
        <v>0</v>
      </c>
      <c r="P123" s="23" t="b">
        <v>0</v>
      </c>
    </row>
    <row r="124" hidden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1"/>
      <c r="M124" s="22" t="b">
        <v>0</v>
      </c>
      <c r="O124" s="22" t="b">
        <v>0</v>
      </c>
      <c r="P124" s="23" t="b">
        <v>0</v>
      </c>
    </row>
    <row r="125" hidden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1"/>
      <c r="M125" s="22" t="b">
        <v>0</v>
      </c>
      <c r="O125" s="22" t="b">
        <v>0</v>
      </c>
      <c r="P125" s="23" t="b">
        <v>0</v>
      </c>
    </row>
    <row r="126" hidden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1"/>
      <c r="M126" s="22" t="b">
        <v>0</v>
      </c>
      <c r="O126" s="22" t="b">
        <v>0</v>
      </c>
      <c r="P126" s="23" t="b">
        <v>0</v>
      </c>
    </row>
    <row r="127" hidden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1"/>
      <c r="M127" s="22" t="b">
        <v>0</v>
      </c>
      <c r="O127" s="22" t="b">
        <v>0</v>
      </c>
      <c r="P127" s="23" t="b">
        <v>0</v>
      </c>
    </row>
    <row r="128" hidden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1"/>
      <c r="M128" s="22" t="b">
        <v>0</v>
      </c>
      <c r="O128" s="22" t="b">
        <v>0</v>
      </c>
      <c r="P128" s="23" t="b">
        <v>0</v>
      </c>
    </row>
    <row r="129" hidden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1"/>
      <c r="M129" s="22" t="b">
        <v>0</v>
      </c>
      <c r="O129" s="22" t="b">
        <v>0</v>
      </c>
      <c r="P129" s="23" t="b">
        <v>0</v>
      </c>
    </row>
    <row r="130" hidden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1"/>
      <c r="M130" s="22" t="b">
        <v>0</v>
      </c>
      <c r="O130" s="22" t="b">
        <v>0</v>
      </c>
      <c r="P130" s="23" t="b">
        <v>0</v>
      </c>
    </row>
    <row r="131" hidden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1"/>
      <c r="M131" s="22" t="b">
        <v>0</v>
      </c>
      <c r="O131" s="22" t="b">
        <v>0</v>
      </c>
      <c r="P131" s="23" t="b">
        <v>0</v>
      </c>
    </row>
    <row r="132" hidden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1"/>
      <c r="M132" s="22" t="b">
        <v>0</v>
      </c>
      <c r="O132" s="22" t="b">
        <v>0</v>
      </c>
      <c r="P132" s="23" t="b">
        <v>0</v>
      </c>
    </row>
    <row r="133" hidden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1"/>
      <c r="M133" s="22" t="b">
        <v>0</v>
      </c>
      <c r="O133" s="22" t="b">
        <v>0</v>
      </c>
      <c r="P133" s="23" t="b">
        <v>0</v>
      </c>
    </row>
    <row r="134" hidden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1"/>
      <c r="M134" s="22" t="b">
        <v>0</v>
      </c>
      <c r="O134" s="22" t="b">
        <v>0</v>
      </c>
      <c r="P134" s="23" t="b">
        <v>0</v>
      </c>
    </row>
    <row r="135" hidden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1"/>
      <c r="M135" s="22" t="b">
        <v>0</v>
      </c>
      <c r="O135" s="22" t="b">
        <v>0</v>
      </c>
      <c r="P135" s="23" t="b">
        <v>0</v>
      </c>
    </row>
    <row r="136" hidden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1"/>
      <c r="M136" s="22" t="b">
        <v>0</v>
      </c>
      <c r="O136" s="22" t="b">
        <v>0</v>
      </c>
      <c r="P136" s="23" t="b">
        <v>0</v>
      </c>
    </row>
    <row r="137" hidden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1"/>
      <c r="M137" s="22" t="b">
        <v>0</v>
      </c>
      <c r="O137" s="22" t="b">
        <v>0</v>
      </c>
      <c r="P137" s="23" t="b">
        <v>0</v>
      </c>
    </row>
    <row r="138" hidden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1"/>
      <c r="M138" s="22" t="b">
        <v>0</v>
      </c>
      <c r="O138" s="22" t="b">
        <v>0</v>
      </c>
      <c r="P138" s="23" t="b">
        <v>0</v>
      </c>
    </row>
    <row r="139" hidden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1"/>
      <c r="M139" s="22" t="b">
        <v>0</v>
      </c>
      <c r="O139" s="22" t="b">
        <v>0</v>
      </c>
      <c r="P139" s="23" t="b">
        <v>0</v>
      </c>
    </row>
    <row r="140" hidden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1"/>
      <c r="M140" s="22" t="b">
        <v>0</v>
      </c>
      <c r="O140" s="22" t="b">
        <v>0</v>
      </c>
      <c r="P140" s="23" t="b">
        <v>0</v>
      </c>
    </row>
    <row r="141" hidden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1"/>
      <c r="M141" s="22" t="b">
        <v>0</v>
      </c>
      <c r="O141" s="22" t="b">
        <v>0</v>
      </c>
      <c r="P141" s="23" t="b">
        <v>0</v>
      </c>
    </row>
    <row r="142" hidden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1"/>
      <c r="M142" s="22" t="b">
        <v>0</v>
      </c>
      <c r="O142" s="22" t="b">
        <v>0</v>
      </c>
      <c r="P142" s="23" t="b">
        <v>0</v>
      </c>
    </row>
    <row r="143" hidden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1"/>
      <c r="M143" s="22" t="b">
        <v>0</v>
      </c>
      <c r="O143" s="22" t="b">
        <v>0</v>
      </c>
      <c r="P143" s="23" t="b">
        <v>0</v>
      </c>
    </row>
    <row r="144" hidden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1"/>
      <c r="M144" s="22" t="b">
        <v>0</v>
      </c>
      <c r="O144" s="22" t="b">
        <v>0</v>
      </c>
      <c r="P144" s="23" t="b">
        <v>0</v>
      </c>
    </row>
    <row r="145" hidden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1"/>
      <c r="M145" s="22" t="b">
        <v>0</v>
      </c>
      <c r="O145" s="22" t="b">
        <v>0</v>
      </c>
      <c r="P145" s="23" t="b">
        <v>0</v>
      </c>
    </row>
    <row r="146" hidden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1"/>
      <c r="M146" s="22" t="b">
        <v>0</v>
      </c>
      <c r="O146" s="22" t="b">
        <v>0</v>
      </c>
      <c r="P146" s="23" t="b">
        <v>0</v>
      </c>
    </row>
    <row r="147" hidden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1"/>
      <c r="M147" s="22" t="b">
        <v>0</v>
      </c>
      <c r="O147" s="22" t="b">
        <v>0</v>
      </c>
      <c r="P147" s="23" t="b">
        <v>0</v>
      </c>
    </row>
    <row r="148" hidden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1"/>
      <c r="M148" s="22" t="b">
        <v>0</v>
      </c>
      <c r="O148" s="22" t="b">
        <v>0</v>
      </c>
      <c r="P148" s="23" t="b">
        <v>0</v>
      </c>
    </row>
    <row r="149" hidden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1"/>
      <c r="M149" s="22" t="b">
        <v>0</v>
      </c>
      <c r="O149" s="22" t="b">
        <v>0</v>
      </c>
      <c r="P149" s="23" t="b">
        <v>0</v>
      </c>
    </row>
    <row r="150" hidden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1"/>
      <c r="M150" s="22" t="b">
        <v>0</v>
      </c>
      <c r="O150" s="22" t="b">
        <v>0</v>
      </c>
      <c r="P150" s="23" t="b">
        <v>0</v>
      </c>
    </row>
    <row r="151" hidden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1"/>
      <c r="M151" s="22" t="b">
        <v>0</v>
      </c>
      <c r="O151" s="22" t="b">
        <v>0</v>
      </c>
      <c r="P151" s="23" t="b">
        <v>0</v>
      </c>
    </row>
    <row r="152" hidden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1"/>
      <c r="M152" s="22" t="b">
        <v>0</v>
      </c>
      <c r="O152" s="22" t="b">
        <v>0</v>
      </c>
      <c r="P152" s="23" t="b">
        <v>0</v>
      </c>
    </row>
    <row r="153" hidden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1"/>
      <c r="M153" s="22" t="b">
        <v>0</v>
      </c>
      <c r="O153" s="22" t="b">
        <v>0</v>
      </c>
      <c r="P153" s="23" t="b">
        <v>0</v>
      </c>
    </row>
    <row r="154" hidden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1"/>
      <c r="M154" s="22" t="b">
        <v>0</v>
      </c>
      <c r="O154" s="22" t="b">
        <v>0</v>
      </c>
      <c r="P154" s="23" t="b">
        <v>0</v>
      </c>
    </row>
    <row r="155" hidden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1"/>
      <c r="M155" s="22" t="b">
        <v>0</v>
      </c>
      <c r="O155" s="22" t="b">
        <v>0</v>
      </c>
      <c r="P155" s="23" t="b">
        <v>0</v>
      </c>
    </row>
    <row r="156" hidden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1"/>
      <c r="M156" s="22" t="b">
        <v>0</v>
      </c>
      <c r="O156" s="22" t="b">
        <v>0</v>
      </c>
      <c r="P156" s="23" t="b">
        <v>0</v>
      </c>
    </row>
    <row r="157" hidden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1"/>
      <c r="M157" s="22" t="b">
        <v>0</v>
      </c>
      <c r="O157" s="22" t="b">
        <v>0</v>
      </c>
      <c r="P157" s="23" t="b">
        <v>0</v>
      </c>
    </row>
    <row r="158" hidden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1"/>
      <c r="M158" s="22" t="b">
        <v>0</v>
      </c>
      <c r="O158" s="22" t="b">
        <v>0</v>
      </c>
      <c r="P158" s="23" t="b">
        <v>0</v>
      </c>
    </row>
    <row r="159" hidden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1"/>
      <c r="M159" s="22" t="b">
        <v>0</v>
      </c>
      <c r="O159" s="22" t="b">
        <v>0</v>
      </c>
      <c r="P159" s="23" t="b">
        <v>0</v>
      </c>
    </row>
    <row r="160" hidden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1"/>
      <c r="M160" s="22" t="b">
        <v>0</v>
      </c>
      <c r="O160" s="22" t="b">
        <v>0</v>
      </c>
      <c r="P160" s="23" t="b">
        <v>0</v>
      </c>
    </row>
    <row r="161" hidden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1"/>
      <c r="M161" s="22" t="b">
        <v>0</v>
      </c>
      <c r="O161" s="22" t="b">
        <v>0</v>
      </c>
      <c r="P161" s="23" t="b">
        <v>0</v>
      </c>
    </row>
    <row r="162" hidden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1"/>
      <c r="M162" s="22" t="b">
        <v>0</v>
      </c>
      <c r="O162" s="22" t="b">
        <v>0</v>
      </c>
      <c r="P162" s="23" t="b">
        <v>0</v>
      </c>
    </row>
    <row r="163" hidden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1"/>
      <c r="M163" s="22" t="b">
        <v>0</v>
      </c>
      <c r="O163" s="22" t="b">
        <v>0</v>
      </c>
      <c r="P163" s="23" t="b">
        <v>0</v>
      </c>
    </row>
    <row r="164" hidden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1"/>
      <c r="M164" s="22" t="b">
        <v>0</v>
      </c>
      <c r="O164" s="22" t="b">
        <v>0</v>
      </c>
      <c r="P164" s="23" t="b">
        <v>0</v>
      </c>
    </row>
    <row r="165" hidden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1"/>
      <c r="M165" s="22" t="b">
        <v>0</v>
      </c>
      <c r="O165" s="22" t="b">
        <v>0</v>
      </c>
      <c r="P165" s="23" t="b">
        <v>0</v>
      </c>
    </row>
    <row r="166" hidden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1"/>
      <c r="M166" s="22" t="b">
        <v>0</v>
      </c>
      <c r="O166" s="22" t="b">
        <v>0</v>
      </c>
      <c r="P166" s="23" t="b">
        <v>0</v>
      </c>
    </row>
    <row r="167" hidden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1"/>
      <c r="M167" s="22" t="b">
        <v>0</v>
      </c>
      <c r="O167" s="22" t="b">
        <v>0</v>
      </c>
      <c r="P167" s="23" t="b">
        <v>0</v>
      </c>
    </row>
    <row r="168" hidden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1"/>
      <c r="M168" s="22" t="b">
        <v>0</v>
      </c>
      <c r="O168" s="22" t="b">
        <v>0</v>
      </c>
      <c r="P168" s="23" t="b">
        <v>0</v>
      </c>
    </row>
    <row r="169" hidden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1"/>
      <c r="M169" s="22" t="b">
        <v>0</v>
      </c>
      <c r="O169" s="22" t="b">
        <v>0</v>
      </c>
      <c r="P169" s="23" t="b">
        <v>0</v>
      </c>
    </row>
    <row r="170" hidden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1"/>
      <c r="M170" s="22" t="b">
        <v>0</v>
      </c>
      <c r="O170" s="22" t="b">
        <v>0</v>
      </c>
      <c r="P170" s="23" t="b">
        <v>0</v>
      </c>
    </row>
    <row r="171" hidden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1"/>
      <c r="M171" s="22" t="b">
        <v>0</v>
      </c>
      <c r="O171" s="22" t="b">
        <v>0</v>
      </c>
      <c r="P171" s="23" t="b">
        <v>0</v>
      </c>
    </row>
    <row r="172" hidden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1"/>
      <c r="M172" s="22" t="b">
        <v>0</v>
      </c>
      <c r="O172" s="22" t="b">
        <v>0</v>
      </c>
      <c r="P172" s="23" t="b">
        <v>0</v>
      </c>
    </row>
    <row r="173" hidden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1"/>
      <c r="M173" s="22" t="b">
        <v>0</v>
      </c>
      <c r="O173" s="22" t="b">
        <v>0</v>
      </c>
      <c r="P173" s="23" t="b">
        <v>0</v>
      </c>
    </row>
    <row r="174" hidden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1"/>
      <c r="M174" s="22" t="b">
        <v>0</v>
      </c>
      <c r="O174" s="22" t="b">
        <v>0</v>
      </c>
      <c r="P174" s="23" t="b">
        <v>0</v>
      </c>
    </row>
    <row r="175" hidden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1"/>
      <c r="M175" s="22" t="b">
        <v>0</v>
      </c>
      <c r="O175" s="22" t="b">
        <v>0</v>
      </c>
      <c r="P175" s="23" t="b">
        <v>0</v>
      </c>
    </row>
    <row r="176" hidden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1"/>
      <c r="M176" s="22" t="b">
        <v>0</v>
      </c>
      <c r="O176" s="22" t="b">
        <v>0</v>
      </c>
      <c r="P176" s="23" t="b">
        <v>0</v>
      </c>
    </row>
    <row r="177" hidden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1"/>
      <c r="M177" s="22" t="b">
        <v>0</v>
      </c>
      <c r="O177" s="22" t="b">
        <v>0</v>
      </c>
      <c r="P177" s="23" t="b">
        <v>0</v>
      </c>
    </row>
    <row r="178" hidden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1"/>
      <c r="M178" s="22" t="b">
        <v>0</v>
      </c>
      <c r="O178" s="22" t="b">
        <v>0</v>
      </c>
      <c r="P178" s="23" t="b">
        <v>0</v>
      </c>
    </row>
    <row r="179" hidden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1"/>
      <c r="M179" s="22" t="b">
        <v>0</v>
      </c>
      <c r="O179" s="22" t="b">
        <v>0</v>
      </c>
      <c r="P179" s="23" t="b">
        <v>0</v>
      </c>
    </row>
    <row r="180" hidden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1"/>
      <c r="M180" s="22" t="b">
        <v>0</v>
      </c>
      <c r="O180" s="22" t="b">
        <v>0</v>
      </c>
      <c r="P180" s="23" t="b">
        <v>0</v>
      </c>
    </row>
    <row r="181" hidden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1"/>
      <c r="M181" s="22" t="b">
        <v>0</v>
      </c>
      <c r="O181" s="22" t="b">
        <v>0</v>
      </c>
      <c r="P181" s="23" t="b">
        <v>0</v>
      </c>
    </row>
    <row r="182" hidden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1"/>
      <c r="M182" s="22" t="b">
        <v>0</v>
      </c>
      <c r="O182" s="22" t="b">
        <v>0</v>
      </c>
      <c r="P182" s="23" t="b">
        <v>0</v>
      </c>
    </row>
    <row r="183" hidden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1"/>
      <c r="M183" s="22" t="b">
        <v>0</v>
      </c>
      <c r="O183" s="22" t="b">
        <v>0</v>
      </c>
      <c r="P183" s="23" t="b">
        <v>0</v>
      </c>
    </row>
    <row r="184" hidden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1"/>
      <c r="M184" s="22" t="b">
        <v>0</v>
      </c>
      <c r="O184" s="22" t="b">
        <v>0</v>
      </c>
      <c r="P184" s="23" t="b">
        <v>0</v>
      </c>
    </row>
    <row r="185" hidden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1"/>
      <c r="M185" s="22" t="b">
        <v>0</v>
      </c>
      <c r="O185" s="22" t="b">
        <v>0</v>
      </c>
      <c r="P185" s="23" t="b">
        <v>0</v>
      </c>
    </row>
    <row r="186" hidden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1"/>
      <c r="M186" s="22" t="b">
        <v>0</v>
      </c>
      <c r="O186" s="22" t="b">
        <v>0</v>
      </c>
      <c r="P186" s="23" t="b">
        <v>0</v>
      </c>
    </row>
    <row r="187" hidden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1"/>
      <c r="M187" s="22" t="b">
        <v>0</v>
      </c>
      <c r="O187" s="22" t="b">
        <v>0</v>
      </c>
      <c r="P187" s="23" t="b">
        <v>0</v>
      </c>
    </row>
    <row r="188" hidden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1"/>
      <c r="M188" s="22" t="b">
        <v>0</v>
      </c>
      <c r="O188" s="22" t="b">
        <v>0</v>
      </c>
      <c r="P188" s="23" t="b">
        <v>0</v>
      </c>
    </row>
    <row r="189" hidden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1"/>
      <c r="M189" s="22" t="b">
        <v>0</v>
      </c>
      <c r="O189" s="22" t="b">
        <v>0</v>
      </c>
      <c r="P189" s="23" t="b">
        <v>0</v>
      </c>
    </row>
    <row r="190" hidden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1"/>
      <c r="M190" s="22" t="b">
        <v>0</v>
      </c>
      <c r="O190" s="22" t="b">
        <v>0</v>
      </c>
      <c r="P190" s="23" t="b">
        <v>0</v>
      </c>
    </row>
    <row r="191" hidden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1"/>
      <c r="M191" s="22" t="b">
        <v>0</v>
      </c>
      <c r="O191" s="22" t="b">
        <v>0</v>
      </c>
      <c r="P191" s="23" t="b">
        <v>0</v>
      </c>
    </row>
    <row r="192" hidden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1"/>
      <c r="M192" s="22" t="b">
        <v>0</v>
      </c>
      <c r="O192" s="22" t="b">
        <v>0</v>
      </c>
      <c r="P192" s="23" t="b">
        <v>0</v>
      </c>
    </row>
    <row r="193" hidden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1"/>
      <c r="M193" s="22" t="b">
        <v>0</v>
      </c>
      <c r="O193" s="22" t="b">
        <v>0</v>
      </c>
      <c r="P193" s="23" t="b">
        <v>0</v>
      </c>
    </row>
    <row r="194" hidden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1"/>
      <c r="M194" s="22" t="b">
        <v>0</v>
      </c>
      <c r="O194" s="22" t="b">
        <v>0</v>
      </c>
      <c r="P194" s="23" t="b">
        <v>0</v>
      </c>
    </row>
    <row r="195" hidden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1"/>
      <c r="M195" s="22" t="b">
        <v>0</v>
      </c>
      <c r="O195" s="22" t="b">
        <v>0</v>
      </c>
      <c r="P195" s="23" t="b">
        <v>0</v>
      </c>
    </row>
    <row r="196" hidden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1"/>
      <c r="M196" s="22" t="b">
        <v>0</v>
      </c>
      <c r="O196" s="22" t="b">
        <v>0</v>
      </c>
      <c r="P196" s="23" t="b">
        <v>0</v>
      </c>
    </row>
    <row r="197" hidden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1"/>
      <c r="M197" s="22" t="b">
        <v>0</v>
      </c>
      <c r="O197" s="22" t="b">
        <v>0</v>
      </c>
      <c r="P197" s="23" t="b">
        <v>0</v>
      </c>
    </row>
    <row r="198" hidden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1"/>
      <c r="M198" s="22" t="b">
        <v>0</v>
      </c>
      <c r="O198" s="22" t="b">
        <v>0</v>
      </c>
      <c r="P198" s="23" t="b">
        <v>0</v>
      </c>
    </row>
    <row r="199" hidden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1"/>
      <c r="M199" s="22" t="b">
        <v>0</v>
      </c>
      <c r="O199" s="22" t="b">
        <v>0</v>
      </c>
      <c r="P199" s="23" t="b">
        <v>0</v>
      </c>
    </row>
    <row r="200" hidden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1"/>
      <c r="M200" s="22" t="b">
        <v>0</v>
      </c>
      <c r="O200" s="22" t="b">
        <v>0</v>
      </c>
      <c r="P200" s="23" t="b">
        <v>0</v>
      </c>
    </row>
    <row r="201" hidden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1"/>
      <c r="M201" s="22" t="b">
        <v>0</v>
      </c>
      <c r="O201" s="22" t="b">
        <v>0</v>
      </c>
      <c r="P201" s="23" t="b">
        <v>0</v>
      </c>
    </row>
    <row r="202" hidden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1"/>
      <c r="M202" s="22" t="b">
        <v>0</v>
      </c>
      <c r="O202" s="22" t="b">
        <v>0</v>
      </c>
      <c r="P202" s="23" t="b">
        <v>0</v>
      </c>
    </row>
    <row r="203" hidden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1"/>
      <c r="M203" s="22" t="b">
        <v>0</v>
      </c>
      <c r="O203" s="22" t="b">
        <v>0</v>
      </c>
      <c r="P203" s="23" t="b">
        <v>0</v>
      </c>
    </row>
    <row r="204" hidden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1"/>
      <c r="M204" s="22" t="b">
        <v>0</v>
      </c>
      <c r="O204" s="22" t="b">
        <v>0</v>
      </c>
      <c r="P204" s="23" t="b">
        <v>0</v>
      </c>
    </row>
    <row r="205" hidden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1"/>
      <c r="M205" s="22" t="b">
        <v>0</v>
      </c>
      <c r="O205" s="22" t="b">
        <v>0</v>
      </c>
      <c r="P205" s="23" t="b">
        <v>0</v>
      </c>
    </row>
    <row r="206" hidden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1"/>
      <c r="M206" s="22" t="b">
        <v>0</v>
      </c>
      <c r="O206" s="22" t="b">
        <v>0</v>
      </c>
      <c r="P206" s="23" t="b">
        <v>0</v>
      </c>
    </row>
    <row r="207" hidden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1"/>
      <c r="M207" s="22" t="b">
        <v>0</v>
      </c>
      <c r="O207" s="22" t="b">
        <v>0</v>
      </c>
      <c r="P207" s="23" t="b">
        <v>0</v>
      </c>
    </row>
    <row r="208" hidden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1"/>
      <c r="M208" s="22" t="b">
        <v>0</v>
      </c>
      <c r="O208" s="22" t="b">
        <v>0</v>
      </c>
      <c r="P208" s="23" t="b">
        <v>0</v>
      </c>
    </row>
    <row r="209" hidden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1"/>
      <c r="M209" s="22" t="b">
        <v>0</v>
      </c>
      <c r="O209" s="22" t="b">
        <v>0</v>
      </c>
      <c r="P209" s="23" t="b">
        <v>0</v>
      </c>
    </row>
    <row r="210" hidden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1"/>
      <c r="M210" s="22" t="b">
        <v>0</v>
      </c>
      <c r="O210" s="22" t="b">
        <v>0</v>
      </c>
      <c r="P210" s="23" t="b">
        <v>0</v>
      </c>
    </row>
    <row r="211" hidden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1"/>
      <c r="M211" s="22" t="b">
        <v>0</v>
      </c>
      <c r="O211" s="22" t="b">
        <v>0</v>
      </c>
      <c r="P211" s="23" t="b">
        <v>0</v>
      </c>
    </row>
    <row r="212" hidden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1"/>
      <c r="M212" s="22" t="b">
        <v>0</v>
      </c>
      <c r="O212" s="22" t="b">
        <v>0</v>
      </c>
      <c r="P212" s="23" t="b">
        <v>0</v>
      </c>
    </row>
    <row r="213" hidden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1"/>
      <c r="M213" s="22" t="b">
        <v>0</v>
      </c>
      <c r="O213" s="22" t="b">
        <v>0</v>
      </c>
      <c r="P213" s="23" t="b">
        <v>0</v>
      </c>
    </row>
    <row r="214" hidden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1"/>
      <c r="M214" s="22" t="b">
        <v>0</v>
      </c>
      <c r="O214" s="22" t="b">
        <v>0</v>
      </c>
      <c r="P214" s="23" t="b">
        <v>0</v>
      </c>
    </row>
    <row r="215" hidden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1"/>
      <c r="M215" s="22" t="b">
        <v>0</v>
      </c>
      <c r="O215" s="22" t="b">
        <v>0</v>
      </c>
      <c r="P215" s="23" t="b">
        <v>0</v>
      </c>
    </row>
    <row r="216" hidden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1"/>
      <c r="M216" s="22" t="b">
        <v>0</v>
      </c>
      <c r="O216" s="22" t="b">
        <v>0</v>
      </c>
      <c r="P216" s="23" t="b">
        <v>0</v>
      </c>
    </row>
    <row r="217" hidden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1"/>
      <c r="M217" s="22" t="b">
        <v>0</v>
      </c>
      <c r="O217" s="22" t="b">
        <v>0</v>
      </c>
      <c r="P217" s="23" t="b">
        <v>0</v>
      </c>
    </row>
    <row r="218" hidden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1"/>
      <c r="M218" s="22" t="b">
        <v>0</v>
      </c>
      <c r="O218" s="22" t="b">
        <v>0</v>
      </c>
      <c r="P218" s="23" t="b">
        <v>0</v>
      </c>
    </row>
    <row r="219" hidden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1"/>
      <c r="M219" s="22" t="b">
        <v>0</v>
      </c>
      <c r="O219" s="22" t="b">
        <v>0</v>
      </c>
      <c r="P219" s="23" t="b">
        <v>0</v>
      </c>
    </row>
    <row r="220" hidden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1"/>
      <c r="M220" s="22" t="b">
        <v>0</v>
      </c>
      <c r="O220" s="22" t="b">
        <v>0</v>
      </c>
      <c r="P220" s="23" t="b">
        <v>0</v>
      </c>
    </row>
    <row r="221" hidden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1"/>
      <c r="M221" s="22" t="b">
        <v>0</v>
      </c>
      <c r="O221" s="22" t="b">
        <v>0</v>
      </c>
      <c r="P221" s="23" t="b">
        <v>0</v>
      </c>
    </row>
    <row r="222" hidden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1"/>
      <c r="M222" s="22" t="b">
        <v>0</v>
      </c>
      <c r="O222" s="22" t="b">
        <v>0</v>
      </c>
      <c r="P222" s="23" t="b">
        <v>0</v>
      </c>
    </row>
    <row r="223" hidden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1"/>
      <c r="M223" s="22" t="b">
        <v>0</v>
      </c>
      <c r="O223" s="22" t="b">
        <v>0</v>
      </c>
      <c r="P223" s="23" t="b">
        <v>0</v>
      </c>
    </row>
    <row r="224" hidden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1"/>
      <c r="M224" s="22" t="b">
        <v>0</v>
      </c>
      <c r="O224" s="22" t="b">
        <v>0</v>
      </c>
      <c r="P224" s="23" t="b">
        <v>0</v>
      </c>
    </row>
    <row r="225" hidden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1"/>
      <c r="M225" s="22" t="b">
        <v>0</v>
      </c>
      <c r="O225" s="22" t="b">
        <v>0</v>
      </c>
      <c r="P225" s="23" t="b">
        <v>0</v>
      </c>
    </row>
    <row r="226" hidden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1"/>
      <c r="M226" s="22" t="b">
        <v>0</v>
      </c>
      <c r="O226" s="22" t="b">
        <v>0</v>
      </c>
      <c r="P226" s="23" t="b">
        <v>0</v>
      </c>
    </row>
    <row r="227" hidden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1"/>
      <c r="M227" s="22" t="b">
        <v>0</v>
      </c>
      <c r="O227" s="22" t="b">
        <v>0</v>
      </c>
      <c r="P227" s="23" t="b">
        <v>0</v>
      </c>
    </row>
    <row r="228" hidden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1"/>
      <c r="M228" s="22" t="b">
        <v>0</v>
      </c>
      <c r="O228" s="22" t="b">
        <v>0</v>
      </c>
      <c r="P228" s="23" t="b">
        <v>0</v>
      </c>
    </row>
    <row r="229" hidden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1"/>
      <c r="M229" s="22" t="b">
        <v>0</v>
      </c>
      <c r="O229" s="22" t="b">
        <v>0</v>
      </c>
      <c r="P229" s="23" t="b">
        <v>0</v>
      </c>
    </row>
    <row r="230" hidden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1"/>
      <c r="M230" s="22" t="b">
        <v>0</v>
      </c>
      <c r="O230" s="22" t="b">
        <v>0</v>
      </c>
      <c r="P230" s="23" t="b">
        <v>0</v>
      </c>
    </row>
    <row r="231" hidden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1"/>
      <c r="M231" s="22" t="b">
        <v>0</v>
      </c>
      <c r="O231" s="22" t="b">
        <v>0</v>
      </c>
      <c r="P231" s="23" t="b">
        <v>0</v>
      </c>
    </row>
    <row r="232" hidden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1"/>
      <c r="M232" s="22" t="b">
        <v>0</v>
      </c>
      <c r="O232" s="22" t="b">
        <v>0</v>
      </c>
      <c r="P232" s="23" t="b">
        <v>0</v>
      </c>
    </row>
    <row r="233" hidden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1"/>
      <c r="M233" s="22" t="b">
        <v>0</v>
      </c>
      <c r="O233" s="22" t="b">
        <v>0</v>
      </c>
      <c r="P233" s="23" t="b">
        <v>0</v>
      </c>
    </row>
    <row r="234" hidden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1"/>
      <c r="M234" s="22" t="b">
        <v>0</v>
      </c>
      <c r="O234" s="22" t="b">
        <v>0</v>
      </c>
      <c r="P234" s="23" t="b">
        <v>0</v>
      </c>
    </row>
    <row r="235" hidden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1"/>
      <c r="M235" s="22" t="b">
        <v>0</v>
      </c>
      <c r="O235" s="22" t="b">
        <v>0</v>
      </c>
      <c r="P235" s="23" t="b">
        <v>0</v>
      </c>
    </row>
    <row r="236" hidden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1"/>
      <c r="M236" s="22" t="b">
        <v>0</v>
      </c>
      <c r="O236" s="22" t="b">
        <v>0</v>
      </c>
      <c r="P236" s="23" t="b">
        <v>0</v>
      </c>
    </row>
    <row r="237" hidden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1"/>
      <c r="M237" s="22" t="b">
        <v>0</v>
      </c>
      <c r="O237" s="22" t="b">
        <v>0</v>
      </c>
      <c r="P237" s="23" t="b">
        <v>0</v>
      </c>
    </row>
    <row r="238" hidden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1"/>
      <c r="M238" s="22" t="b">
        <v>0</v>
      </c>
      <c r="O238" s="22" t="b">
        <v>0</v>
      </c>
      <c r="P238" s="23" t="b">
        <v>0</v>
      </c>
    </row>
    <row r="239" hidden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1"/>
      <c r="M239" s="22" t="b">
        <v>0</v>
      </c>
      <c r="O239" s="22" t="b">
        <v>0</v>
      </c>
      <c r="P239" s="23" t="b">
        <v>0</v>
      </c>
    </row>
    <row r="240" hidden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1"/>
      <c r="M240" s="22" t="b">
        <v>0</v>
      </c>
      <c r="O240" s="22" t="b">
        <v>0</v>
      </c>
      <c r="P240" s="23" t="b">
        <v>0</v>
      </c>
    </row>
    <row r="241" hidden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1"/>
      <c r="M241" s="22" t="b">
        <v>0</v>
      </c>
      <c r="O241" s="22" t="b">
        <v>0</v>
      </c>
      <c r="P241" s="23" t="b">
        <v>0</v>
      </c>
    </row>
    <row r="242" hidden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1"/>
      <c r="M242" s="22" t="b">
        <v>0</v>
      </c>
      <c r="O242" s="22" t="b">
        <v>0</v>
      </c>
      <c r="P242" s="23" t="b">
        <v>0</v>
      </c>
    </row>
    <row r="243" hidden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1"/>
      <c r="M243" s="22" t="b">
        <v>0</v>
      </c>
      <c r="O243" s="22" t="b">
        <v>0</v>
      </c>
      <c r="P243" s="23" t="b">
        <v>0</v>
      </c>
    </row>
    <row r="244" hidden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1"/>
      <c r="M244" s="22" t="b">
        <v>0</v>
      </c>
      <c r="O244" s="22" t="b">
        <v>0</v>
      </c>
      <c r="P244" s="23" t="b">
        <v>0</v>
      </c>
    </row>
    <row r="245" hidden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1"/>
      <c r="M245" s="22" t="b">
        <v>0</v>
      </c>
      <c r="O245" s="22" t="b">
        <v>0</v>
      </c>
      <c r="P245" s="23" t="b">
        <v>0</v>
      </c>
    </row>
    <row r="246" hidden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1"/>
      <c r="M246" s="22" t="b">
        <v>0</v>
      </c>
      <c r="O246" s="22" t="b">
        <v>0</v>
      </c>
      <c r="P246" s="23" t="b">
        <v>0</v>
      </c>
    </row>
    <row r="247" hidden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1"/>
      <c r="M247" s="22" t="b">
        <v>0</v>
      </c>
      <c r="O247" s="22" t="b">
        <v>0</v>
      </c>
      <c r="P247" s="23" t="b">
        <v>0</v>
      </c>
    </row>
    <row r="248" hidden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1"/>
      <c r="M248" s="22" t="b">
        <v>0</v>
      </c>
      <c r="O248" s="22" t="b">
        <v>0</v>
      </c>
      <c r="P248" s="23" t="b">
        <v>0</v>
      </c>
    </row>
    <row r="249" hidden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1"/>
      <c r="M249" s="22" t="b">
        <v>0</v>
      </c>
      <c r="O249" s="22" t="b">
        <v>0</v>
      </c>
      <c r="P249" s="23" t="b">
        <v>0</v>
      </c>
    </row>
    <row r="250" hidden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1"/>
      <c r="M250" s="22" t="b">
        <v>0</v>
      </c>
      <c r="O250" s="22" t="b">
        <v>0</v>
      </c>
      <c r="P250" s="23" t="b">
        <v>0</v>
      </c>
    </row>
    <row r="251" hidden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1"/>
      <c r="M251" s="22" t="b">
        <v>0</v>
      </c>
      <c r="O251" s="22" t="b">
        <v>0</v>
      </c>
      <c r="P251" s="23" t="b">
        <v>0</v>
      </c>
    </row>
    <row r="252" hidden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1"/>
      <c r="M252" s="22" t="b">
        <v>0</v>
      </c>
      <c r="O252" s="22" t="b">
        <v>0</v>
      </c>
      <c r="P252" s="23" t="b">
        <v>0</v>
      </c>
    </row>
    <row r="253" hidden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1"/>
      <c r="M253" s="22" t="b">
        <v>0</v>
      </c>
      <c r="O253" s="22" t="b">
        <v>0</v>
      </c>
      <c r="P253" s="23" t="b">
        <v>0</v>
      </c>
    </row>
    <row r="254" hidden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1"/>
      <c r="M254" s="22" t="b">
        <v>0</v>
      </c>
      <c r="O254" s="22" t="b">
        <v>0</v>
      </c>
      <c r="P254" s="23" t="b">
        <v>0</v>
      </c>
    </row>
    <row r="255" hidden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1"/>
      <c r="M255" s="22" t="b">
        <v>0</v>
      </c>
      <c r="O255" s="22" t="b">
        <v>0</v>
      </c>
      <c r="P255" s="23" t="b">
        <v>0</v>
      </c>
    </row>
    <row r="256" hidden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1"/>
      <c r="M256" s="22" t="b">
        <v>0</v>
      </c>
      <c r="O256" s="22" t="b">
        <v>0</v>
      </c>
      <c r="P256" s="23" t="b">
        <v>0</v>
      </c>
    </row>
    <row r="257" hidden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1"/>
      <c r="M257" s="22" t="b">
        <v>0</v>
      </c>
      <c r="O257" s="22" t="b">
        <v>0</v>
      </c>
      <c r="P257" s="23" t="b">
        <v>0</v>
      </c>
    </row>
    <row r="258" hidden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1"/>
      <c r="M258" s="22" t="b">
        <v>0</v>
      </c>
      <c r="O258" s="22" t="b">
        <v>0</v>
      </c>
      <c r="P258" s="23" t="b">
        <v>0</v>
      </c>
    </row>
    <row r="259" hidden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1"/>
      <c r="M259" s="22" t="b">
        <v>0</v>
      </c>
      <c r="O259" s="22" t="b">
        <v>0</v>
      </c>
      <c r="P259" s="23" t="b">
        <v>0</v>
      </c>
    </row>
    <row r="260" hidden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1"/>
      <c r="M260" s="22" t="b">
        <v>0</v>
      </c>
      <c r="O260" s="22" t="b">
        <v>0</v>
      </c>
      <c r="P260" s="23" t="b">
        <v>0</v>
      </c>
    </row>
    <row r="261" hidden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1"/>
      <c r="M261" s="22" t="b">
        <v>0</v>
      </c>
      <c r="O261" s="22" t="b">
        <v>0</v>
      </c>
      <c r="P261" s="23" t="b">
        <v>0</v>
      </c>
    </row>
    <row r="262" hidden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1"/>
      <c r="M262" s="22" t="b">
        <v>0</v>
      </c>
      <c r="O262" s="22" t="b">
        <v>0</v>
      </c>
      <c r="P262" s="23" t="b">
        <v>0</v>
      </c>
    </row>
    <row r="263" hidden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1"/>
      <c r="M263" s="22" t="b">
        <v>0</v>
      </c>
      <c r="O263" s="22" t="b">
        <v>0</v>
      </c>
      <c r="P263" s="23" t="b">
        <v>0</v>
      </c>
    </row>
    <row r="264" hidden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1"/>
      <c r="M264" s="22" t="b">
        <v>0</v>
      </c>
      <c r="O264" s="22" t="b">
        <v>0</v>
      </c>
      <c r="P264" s="23" t="b">
        <v>0</v>
      </c>
    </row>
    <row r="265" hidden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1"/>
      <c r="M265" s="22" t="b">
        <v>0</v>
      </c>
      <c r="O265" s="22" t="b">
        <v>0</v>
      </c>
      <c r="P265" s="23" t="b">
        <v>0</v>
      </c>
    </row>
    <row r="266" hidden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1"/>
      <c r="M266" s="22" t="b">
        <v>0</v>
      </c>
      <c r="O266" s="22" t="b">
        <v>0</v>
      </c>
      <c r="P266" s="23" t="b">
        <v>0</v>
      </c>
    </row>
    <row r="267" hidden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1"/>
      <c r="M267" s="22" t="b">
        <v>0</v>
      </c>
      <c r="O267" s="22" t="b">
        <v>0</v>
      </c>
      <c r="P267" s="23" t="b">
        <v>0</v>
      </c>
    </row>
    <row r="268" hidden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1"/>
      <c r="M268" s="22" t="b">
        <v>0</v>
      </c>
      <c r="O268" s="22" t="b">
        <v>0</v>
      </c>
      <c r="P268" s="23" t="b">
        <v>0</v>
      </c>
    </row>
    <row r="269" hidden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1"/>
      <c r="M269" s="22" t="b">
        <v>0</v>
      </c>
      <c r="O269" s="22" t="b">
        <v>0</v>
      </c>
      <c r="P269" s="23" t="b">
        <v>0</v>
      </c>
    </row>
    <row r="270" hidden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1"/>
      <c r="M270" s="22" t="b">
        <v>0</v>
      </c>
      <c r="O270" s="22" t="b">
        <v>0</v>
      </c>
      <c r="P270" s="23" t="b">
        <v>0</v>
      </c>
    </row>
    <row r="271" hidden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1"/>
      <c r="M271" s="22" t="b">
        <v>0</v>
      </c>
      <c r="O271" s="22" t="b">
        <v>0</v>
      </c>
      <c r="P271" s="23" t="b">
        <v>0</v>
      </c>
    </row>
    <row r="272" hidden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1"/>
      <c r="M272" s="22" t="b">
        <v>0</v>
      </c>
      <c r="O272" s="22" t="b">
        <v>0</v>
      </c>
      <c r="P272" s="23" t="b">
        <v>0</v>
      </c>
    </row>
    <row r="273" hidden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1"/>
      <c r="M273" s="22" t="b">
        <v>0</v>
      </c>
      <c r="O273" s="22" t="b">
        <v>0</v>
      </c>
      <c r="P273" s="23" t="b">
        <v>0</v>
      </c>
    </row>
    <row r="274" hidden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1"/>
      <c r="M274" s="22" t="b">
        <v>0</v>
      </c>
      <c r="O274" s="22" t="b">
        <v>0</v>
      </c>
      <c r="P274" s="23" t="b">
        <v>0</v>
      </c>
    </row>
    <row r="275" hidden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1"/>
      <c r="M275" s="22" t="b">
        <v>0</v>
      </c>
      <c r="O275" s="22" t="b">
        <v>0</v>
      </c>
      <c r="P275" s="23" t="b">
        <v>0</v>
      </c>
    </row>
    <row r="276" hidden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1"/>
      <c r="M276" s="22" t="b">
        <v>0</v>
      </c>
      <c r="O276" s="22" t="b">
        <v>0</v>
      </c>
      <c r="P276" s="23" t="b">
        <v>0</v>
      </c>
    </row>
    <row r="277" hidden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1"/>
      <c r="M277" s="22" t="b">
        <v>0</v>
      </c>
      <c r="O277" s="22" t="b">
        <v>0</v>
      </c>
      <c r="P277" s="23" t="b">
        <v>0</v>
      </c>
    </row>
    <row r="278" hidden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1"/>
      <c r="M278" s="22" t="b">
        <v>0</v>
      </c>
      <c r="O278" s="22" t="b">
        <v>0</v>
      </c>
      <c r="P278" s="23" t="b">
        <v>0</v>
      </c>
    </row>
    <row r="279" hidden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1"/>
      <c r="M279" s="22" t="b">
        <v>0</v>
      </c>
      <c r="O279" s="22" t="b">
        <v>0</v>
      </c>
      <c r="P279" s="23" t="b">
        <v>0</v>
      </c>
    </row>
    <row r="280" hidden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1"/>
      <c r="M280" s="22" t="b">
        <v>0</v>
      </c>
      <c r="O280" s="22" t="b">
        <v>0</v>
      </c>
      <c r="P280" s="23" t="b">
        <v>0</v>
      </c>
    </row>
    <row r="281" hidden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1"/>
      <c r="M281" s="22" t="b">
        <v>0</v>
      </c>
      <c r="O281" s="22" t="b">
        <v>0</v>
      </c>
      <c r="P281" s="23" t="b">
        <v>0</v>
      </c>
    </row>
    <row r="282" hidden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1"/>
      <c r="M282" s="22" t="b">
        <v>0</v>
      </c>
      <c r="O282" s="22" t="b">
        <v>0</v>
      </c>
      <c r="P282" s="23" t="b">
        <v>0</v>
      </c>
    </row>
    <row r="283" hidden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1"/>
      <c r="M283" s="22" t="b">
        <v>0</v>
      </c>
      <c r="O283" s="22" t="b">
        <v>0</v>
      </c>
      <c r="P283" s="23" t="b">
        <v>0</v>
      </c>
    </row>
    <row r="284" hidden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1"/>
      <c r="M284" s="22" t="b">
        <v>0</v>
      </c>
      <c r="O284" s="22" t="b">
        <v>0</v>
      </c>
      <c r="P284" s="23" t="b">
        <v>0</v>
      </c>
    </row>
    <row r="285" hidden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1"/>
      <c r="M285" s="22" t="b">
        <v>0</v>
      </c>
      <c r="O285" s="22" t="b">
        <v>0</v>
      </c>
      <c r="P285" s="23" t="b">
        <v>0</v>
      </c>
    </row>
    <row r="286" hidden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1"/>
      <c r="M286" s="22" t="b">
        <v>0</v>
      </c>
      <c r="O286" s="22" t="b">
        <v>0</v>
      </c>
      <c r="P286" s="23" t="b">
        <v>0</v>
      </c>
    </row>
    <row r="287" hidden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1"/>
      <c r="M287" s="22" t="b">
        <v>0</v>
      </c>
      <c r="O287" s="22" t="b">
        <v>0</v>
      </c>
      <c r="P287" s="23" t="b">
        <v>0</v>
      </c>
    </row>
    <row r="288" hidden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1"/>
      <c r="M288" s="22" t="b">
        <v>0</v>
      </c>
      <c r="O288" s="22" t="b">
        <v>0</v>
      </c>
      <c r="P288" s="23" t="b">
        <v>0</v>
      </c>
    </row>
    <row r="289" hidden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1"/>
      <c r="M289" s="22" t="b">
        <v>0</v>
      </c>
      <c r="O289" s="22" t="b">
        <v>0</v>
      </c>
      <c r="P289" s="23" t="b">
        <v>0</v>
      </c>
    </row>
    <row r="290" hidden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1"/>
      <c r="M290" s="22" t="b">
        <v>0</v>
      </c>
      <c r="O290" s="22" t="b">
        <v>0</v>
      </c>
      <c r="P290" s="23" t="b">
        <v>0</v>
      </c>
    </row>
    <row r="291" hidden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1"/>
      <c r="M291" s="22" t="b">
        <v>0</v>
      </c>
      <c r="O291" s="22" t="b">
        <v>0</v>
      </c>
      <c r="P291" s="23" t="b">
        <v>0</v>
      </c>
    </row>
    <row r="292" hidden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1"/>
      <c r="M292" s="22" t="b">
        <v>0</v>
      </c>
      <c r="O292" s="22" t="b">
        <v>0</v>
      </c>
      <c r="P292" s="23" t="b">
        <v>0</v>
      </c>
    </row>
    <row r="293" hidden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1"/>
      <c r="M293" s="22" t="b">
        <v>0</v>
      </c>
      <c r="O293" s="22" t="b">
        <v>0</v>
      </c>
      <c r="P293" s="23" t="b">
        <v>0</v>
      </c>
    </row>
    <row r="294" hidden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1"/>
      <c r="M294" s="22" t="b">
        <v>0</v>
      </c>
      <c r="O294" s="22" t="b">
        <v>0</v>
      </c>
      <c r="P294" s="23" t="b">
        <v>0</v>
      </c>
    </row>
    <row r="295" hidden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1"/>
      <c r="M295" s="22" t="b">
        <v>0</v>
      </c>
      <c r="O295" s="22" t="b">
        <v>0</v>
      </c>
      <c r="P295" s="23" t="b">
        <v>0</v>
      </c>
    </row>
    <row r="296" hidden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1"/>
      <c r="M296" s="22" t="b">
        <v>0</v>
      </c>
      <c r="O296" s="22" t="b">
        <v>0</v>
      </c>
      <c r="P296" s="23" t="b">
        <v>0</v>
      </c>
    </row>
    <row r="297" hidden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1"/>
      <c r="M297" s="22" t="b">
        <v>0</v>
      </c>
      <c r="O297" s="22" t="b">
        <v>0</v>
      </c>
      <c r="P297" s="23" t="b">
        <v>0</v>
      </c>
    </row>
    <row r="298" hidden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1"/>
      <c r="M298" s="22" t="b">
        <v>0</v>
      </c>
      <c r="O298" s="22" t="b">
        <v>0</v>
      </c>
      <c r="P298" s="23" t="b">
        <v>0</v>
      </c>
    </row>
    <row r="299" hidden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1"/>
      <c r="M299" s="22" t="b">
        <v>0</v>
      </c>
      <c r="O299" s="22" t="b">
        <v>0</v>
      </c>
      <c r="P299" s="23" t="b">
        <v>0</v>
      </c>
    </row>
    <row r="300" hidden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1"/>
      <c r="M300" s="22" t="b">
        <v>0</v>
      </c>
      <c r="O300" s="22" t="b">
        <v>0</v>
      </c>
      <c r="P300" s="23" t="b">
        <v>0</v>
      </c>
    </row>
    <row r="301" hidden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1"/>
      <c r="M301" s="22" t="b">
        <v>0</v>
      </c>
      <c r="O301" s="22" t="b">
        <v>0</v>
      </c>
      <c r="P301" s="23" t="b">
        <v>0</v>
      </c>
    </row>
    <row r="302" hidden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1"/>
      <c r="M302" s="22" t="b">
        <v>0</v>
      </c>
      <c r="O302" s="22" t="b">
        <v>0</v>
      </c>
      <c r="P302" s="23" t="b">
        <v>0</v>
      </c>
    </row>
    <row r="303" hidden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1"/>
      <c r="M303" s="22" t="b">
        <v>0</v>
      </c>
      <c r="O303" s="22" t="b">
        <v>0</v>
      </c>
      <c r="P303" s="23" t="b">
        <v>0</v>
      </c>
    </row>
    <row r="304" hidden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1"/>
      <c r="M304" s="22" t="b">
        <v>0</v>
      </c>
      <c r="O304" s="22" t="b">
        <v>0</v>
      </c>
      <c r="P304" s="23" t="b">
        <v>0</v>
      </c>
    </row>
    <row r="305" hidden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1"/>
      <c r="M305" s="22" t="b">
        <v>0</v>
      </c>
      <c r="O305" s="22" t="b">
        <v>0</v>
      </c>
      <c r="P305" s="23" t="b">
        <v>0</v>
      </c>
    </row>
    <row r="306" hidden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1"/>
      <c r="M306" s="22" t="b">
        <v>0</v>
      </c>
      <c r="O306" s="22" t="b">
        <v>0</v>
      </c>
      <c r="P306" s="23" t="b">
        <v>0</v>
      </c>
    </row>
    <row r="307" hidden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1"/>
      <c r="M307" s="22" t="b">
        <v>0</v>
      </c>
      <c r="O307" s="22" t="b">
        <v>0</v>
      </c>
      <c r="P307" s="23" t="b">
        <v>0</v>
      </c>
    </row>
    <row r="308" hidden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1"/>
      <c r="M308" s="22" t="b">
        <v>0</v>
      </c>
      <c r="O308" s="22" t="b">
        <v>0</v>
      </c>
      <c r="P308" s="23" t="b">
        <v>0</v>
      </c>
    </row>
    <row r="309" hidden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1"/>
      <c r="M309" s="22" t="b">
        <v>0</v>
      </c>
      <c r="O309" s="22" t="b">
        <v>0</v>
      </c>
      <c r="P309" s="23" t="b">
        <v>0</v>
      </c>
    </row>
    <row r="310" hidden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1"/>
      <c r="M310" s="22" t="b">
        <v>0</v>
      </c>
      <c r="O310" s="22" t="b">
        <v>0</v>
      </c>
      <c r="P310" s="23" t="b">
        <v>0</v>
      </c>
    </row>
    <row r="311" hidden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1"/>
      <c r="M311" s="22" t="b">
        <v>0</v>
      </c>
      <c r="O311" s="22" t="b">
        <v>0</v>
      </c>
      <c r="P311" s="23" t="b">
        <v>0</v>
      </c>
    </row>
    <row r="312" hidden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1"/>
      <c r="M312" s="22" t="b">
        <v>0</v>
      </c>
      <c r="O312" s="22" t="b">
        <v>0</v>
      </c>
      <c r="P312" s="23" t="b">
        <v>0</v>
      </c>
    </row>
    <row r="313" hidden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1"/>
      <c r="M313" s="22" t="b">
        <v>0</v>
      </c>
      <c r="O313" s="22" t="b">
        <v>0</v>
      </c>
      <c r="P313" s="23" t="b">
        <v>0</v>
      </c>
    </row>
    <row r="314" hidden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1"/>
      <c r="M314" s="22" t="b">
        <v>0</v>
      </c>
      <c r="O314" s="22" t="b">
        <v>0</v>
      </c>
      <c r="P314" s="23" t="b">
        <v>0</v>
      </c>
    </row>
    <row r="315" hidden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1"/>
      <c r="M315" s="22" t="b">
        <v>0</v>
      </c>
      <c r="O315" s="22" t="b">
        <v>0</v>
      </c>
      <c r="P315" s="23" t="b">
        <v>0</v>
      </c>
    </row>
    <row r="316" hidden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1"/>
      <c r="M316" s="22" t="b">
        <v>0</v>
      </c>
      <c r="O316" s="22" t="b">
        <v>0</v>
      </c>
      <c r="P316" s="23" t="b">
        <v>0</v>
      </c>
    </row>
    <row r="317" hidden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1"/>
      <c r="M317" s="22" t="b">
        <v>0</v>
      </c>
      <c r="O317" s="22" t="b">
        <v>0</v>
      </c>
      <c r="P317" s="23" t="b">
        <v>0</v>
      </c>
    </row>
    <row r="318" hidden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1"/>
      <c r="M318" s="22" t="b">
        <v>0</v>
      </c>
      <c r="O318" s="22" t="b">
        <v>0</v>
      </c>
      <c r="P318" s="23" t="b">
        <v>0</v>
      </c>
    </row>
    <row r="319" hidden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1"/>
      <c r="M319" s="22" t="b">
        <v>0</v>
      </c>
      <c r="O319" s="22" t="b">
        <v>0</v>
      </c>
      <c r="P319" s="23" t="b">
        <v>0</v>
      </c>
    </row>
    <row r="320" hidden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1"/>
      <c r="M320" s="22" t="b">
        <v>0</v>
      </c>
      <c r="O320" s="22" t="b">
        <v>0</v>
      </c>
      <c r="P320" s="23" t="b">
        <v>0</v>
      </c>
    </row>
    <row r="321" hidden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1"/>
      <c r="M321" s="22" t="b">
        <v>0</v>
      </c>
      <c r="O321" s="22" t="b">
        <v>0</v>
      </c>
      <c r="P321" s="23" t="b">
        <v>0</v>
      </c>
    </row>
    <row r="322" hidden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1"/>
      <c r="M322" s="22" t="b">
        <v>0</v>
      </c>
      <c r="O322" s="22" t="b">
        <v>0</v>
      </c>
      <c r="P322" s="23" t="b">
        <v>0</v>
      </c>
    </row>
    <row r="323" hidden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1"/>
      <c r="M323" s="22" t="b">
        <v>0</v>
      </c>
      <c r="O323" s="22" t="b">
        <v>0</v>
      </c>
      <c r="P323" s="23" t="b">
        <v>0</v>
      </c>
    </row>
    <row r="324" hidden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1"/>
      <c r="M324" s="22" t="b">
        <v>0</v>
      </c>
      <c r="O324" s="22" t="b">
        <v>0</v>
      </c>
      <c r="P324" s="23" t="b">
        <v>0</v>
      </c>
    </row>
    <row r="325" hidden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1"/>
      <c r="M325" s="22" t="b">
        <v>0</v>
      </c>
      <c r="O325" s="22" t="b">
        <v>0</v>
      </c>
      <c r="P325" s="23" t="b">
        <v>0</v>
      </c>
    </row>
    <row r="326" hidden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1"/>
      <c r="M326" s="22" t="b">
        <v>0</v>
      </c>
      <c r="O326" s="22" t="b">
        <v>0</v>
      </c>
      <c r="P326" s="23" t="b">
        <v>0</v>
      </c>
    </row>
    <row r="327" hidden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1"/>
      <c r="M327" s="22" t="b">
        <v>0</v>
      </c>
      <c r="O327" s="22" t="b">
        <v>0</v>
      </c>
      <c r="P327" s="23" t="b">
        <v>0</v>
      </c>
    </row>
    <row r="328" hidden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1"/>
      <c r="M328" s="22" t="b">
        <v>0</v>
      </c>
      <c r="O328" s="22" t="b">
        <v>0</v>
      </c>
      <c r="P328" s="23" t="b">
        <v>0</v>
      </c>
    </row>
    <row r="329" hidden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1"/>
      <c r="M329" s="22" t="b">
        <v>0</v>
      </c>
      <c r="O329" s="22" t="b">
        <v>0</v>
      </c>
      <c r="P329" s="23" t="b">
        <v>0</v>
      </c>
    </row>
    <row r="330" hidden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1"/>
      <c r="M330" s="22" t="b">
        <v>0</v>
      </c>
      <c r="O330" s="22" t="b">
        <v>0</v>
      </c>
      <c r="P330" s="23" t="b">
        <v>0</v>
      </c>
    </row>
    <row r="331" hidden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1"/>
      <c r="M331" s="22" t="b">
        <v>0</v>
      </c>
      <c r="O331" s="22" t="b">
        <v>0</v>
      </c>
      <c r="P331" s="23" t="b">
        <v>0</v>
      </c>
    </row>
    <row r="332" hidden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1"/>
      <c r="M332" s="22" t="b">
        <v>0</v>
      </c>
      <c r="O332" s="22" t="b">
        <v>0</v>
      </c>
      <c r="P332" s="23" t="b">
        <v>0</v>
      </c>
    </row>
    <row r="333" hidden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1"/>
      <c r="M333" s="22" t="b">
        <v>0</v>
      </c>
      <c r="O333" s="22" t="b">
        <v>0</v>
      </c>
      <c r="P333" s="23" t="b">
        <v>0</v>
      </c>
    </row>
    <row r="334" hidden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1"/>
      <c r="M334" s="22" t="b">
        <v>0</v>
      </c>
      <c r="O334" s="22" t="b">
        <v>0</v>
      </c>
      <c r="P334" s="23" t="b">
        <v>0</v>
      </c>
    </row>
    <row r="335" hidden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1"/>
      <c r="M335" s="22" t="b">
        <v>0</v>
      </c>
      <c r="O335" s="22" t="b">
        <v>0</v>
      </c>
      <c r="P335" s="23" t="b">
        <v>0</v>
      </c>
    </row>
    <row r="336" hidden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1"/>
      <c r="M336" s="22" t="b">
        <v>0</v>
      </c>
      <c r="O336" s="22" t="b">
        <v>0</v>
      </c>
      <c r="P336" s="23" t="b">
        <v>0</v>
      </c>
    </row>
    <row r="337" hidden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1"/>
      <c r="M337" s="22" t="b">
        <v>0</v>
      </c>
      <c r="O337" s="22" t="b">
        <v>0</v>
      </c>
      <c r="P337" s="23" t="b">
        <v>0</v>
      </c>
    </row>
    <row r="338" hidden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1"/>
      <c r="M338" s="22" t="b">
        <v>0</v>
      </c>
      <c r="O338" s="22" t="b">
        <v>0</v>
      </c>
      <c r="P338" s="23" t="b">
        <v>0</v>
      </c>
    </row>
    <row r="339" hidden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1"/>
      <c r="M339" s="22" t="b">
        <v>0</v>
      </c>
      <c r="O339" s="22" t="b">
        <v>0</v>
      </c>
      <c r="P339" s="23" t="b">
        <v>0</v>
      </c>
    </row>
    <row r="340" hidden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1"/>
      <c r="M340" s="22" t="b">
        <v>0</v>
      </c>
      <c r="O340" s="22" t="b">
        <v>0</v>
      </c>
      <c r="P340" s="23" t="b">
        <v>0</v>
      </c>
    </row>
    <row r="341" hidden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1"/>
      <c r="M341" s="22" t="b">
        <v>0</v>
      </c>
      <c r="O341" s="22" t="b">
        <v>0</v>
      </c>
      <c r="P341" s="23" t="b">
        <v>0</v>
      </c>
    </row>
    <row r="342" hidden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1"/>
      <c r="M342" s="22" t="b">
        <v>0</v>
      </c>
      <c r="O342" s="22" t="b">
        <v>0</v>
      </c>
      <c r="P342" s="23" t="b">
        <v>0</v>
      </c>
    </row>
    <row r="343" hidden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1"/>
      <c r="M343" s="22" t="b">
        <v>0</v>
      </c>
      <c r="O343" s="22" t="b">
        <v>0</v>
      </c>
      <c r="P343" s="23" t="b">
        <v>0</v>
      </c>
    </row>
    <row r="344" hidden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1"/>
      <c r="M344" s="22" t="b">
        <v>0</v>
      </c>
      <c r="O344" s="22" t="b">
        <v>0</v>
      </c>
      <c r="P344" s="23" t="b">
        <v>0</v>
      </c>
    </row>
    <row r="345" hidden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1"/>
      <c r="M345" s="22" t="b">
        <v>0</v>
      </c>
      <c r="O345" s="22" t="b">
        <v>0</v>
      </c>
      <c r="P345" s="23" t="b">
        <v>0</v>
      </c>
    </row>
    <row r="346" hidden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1"/>
      <c r="M346" s="22" t="b">
        <v>0</v>
      </c>
      <c r="O346" s="22" t="b">
        <v>0</v>
      </c>
      <c r="P346" s="23" t="b">
        <v>0</v>
      </c>
    </row>
    <row r="347" hidden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1"/>
      <c r="M347" s="22" t="b">
        <v>0</v>
      </c>
      <c r="O347" s="22" t="b">
        <v>0</v>
      </c>
      <c r="P347" s="23" t="b">
        <v>0</v>
      </c>
    </row>
    <row r="348" hidden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1"/>
      <c r="M348" s="22" t="b">
        <v>0</v>
      </c>
      <c r="O348" s="22" t="b">
        <v>0</v>
      </c>
      <c r="P348" s="23" t="b">
        <v>0</v>
      </c>
    </row>
    <row r="349" hidden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1"/>
      <c r="M349" s="22" t="b">
        <v>0</v>
      </c>
      <c r="O349" s="22" t="b">
        <v>0</v>
      </c>
      <c r="P349" s="23" t="b">
        <v>0</v>
      </c>
    </row>
    <row r="350" hidden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1"/>
      <c r="M350" s="22" t="b">
        <v>0</v>
      </c>
      <c r="O350" s="22" t="b">
        <v>0</v>
      </c>
      <c r="P350" s="23" t="b">
        <v>0</v>
      </c>
    </row>
    <row r="351" hidden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1"/>
      <c r="M351" s="22" t="b">
        <v>0</v>
      </c>
      <c r="O351" s="22" t="b">
        <v>0</v>
      </c>
      <c r="P351" s="23" t="b">
        <v>0</v>
      </c>
    </row>
    <row r="352" hidden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1"/>
      <c r="M352" s="22" t="b">
        <v>0</v>
      </c>
      <c r="O352" s="22" t="b">
        <v>0</v>
      </c>
      <c r="P352" s="23" t="b">
        <v>0</v>
      </c>
    </row>
    <row r="353" hidden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1"/>
      <c r="M353" s="22" t="b">
        <v>0</v>
      </c>
      <c r="O353" s="22" t="b">
        <v>0</v>
      </c>
      <c r="P353" s="23" t="b">
        <v>0</v>
      </c>
    </row>
    <row r="354" hidden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1"/>
      <c r="M354" s="22" t="b">
        <v>0</v>
      </c>
      <c r="O354" s="22" t="b">
        <v>0</v>
      </c>
      <c r="P354" s="23" t="b">
        <v>0</v>
      </c>
    </row>
    <row r="355" hidden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1"/>
      <c r="M355" s="22" t="b">
        <v>0</v>
      </c>
      <c r="O355" s="22" t="b">
        <v>0</v>
      </c>
      <c r="P355" s="23" t="b">
        <v>0</v>
      </c>
    </row>
    <row r="356" hidden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1"/>
      <c r="M356" s="22" t="b">
        <v>0</v>
      </c>
      <c r="O356" s="22" t="b">
        <v>0</v>
      </c>
      <c r="P356" s="23" t="b">
        <v>0</v>
      </c>
    </row>
    <row r="357" hidden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1"/>
      <c r="M357" s="22" t="b">
        <v>0</v>
      </c>
      <c r="O357" s="22" t="b">
        <v>0</v>
      </c>
      <c r="P357" s="23" t="b">
        <v>0</v>
      </c>
    </row>
    <row r="358" hidden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1"/>
      <c r="M358" s="22" t="b">
        <v>0</v>
      </c>
      <c r="O358" s="22" t="b">
        <v>0</v>
      </c>
      <c r="P358" s="23" t="b">
        <v>0</v>
      </c>
    </row>
    <row r="359" hidden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1"/>
      <c r="M359" s="22" t="b">
        <v>0</v>
      </c>
      <c r="O359" s="22" t="b">
        <v>0</v>
      </c>
      <c r="P359" s="23" t="b">
        <v>0</v>
      </c>
    </row>
    <row r="360" hidden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1"/>
      <c r="M360" s="22" t="b">
        <v>0</v>
      </c>
      <c r="O360" s="22" t="b">
        <v>0</v>
      </c>
      <c r="P360" s="23" t="b">
        <v>0</v>
      </c>
    </row>
    <row r="361" hidden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1"/>
      <c r="M361" s="22" t="b">
        <v>0</v>
      </c>
      <c r="O361" s="22" t="b">
        <v>0</v>
      </c>
      <c r="P361" s="23" t="b">
        <v>0</v>
      </c>
    </row>
    <row r="362" hidden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1"/>
      <c r="M362" s="22" t="b">
        <v>0</v>
      </c>
      <c r="O362" s="22" t="b">
        <v>0</v>
      </c>
      <c r="P362" s="23" t="b">
        <v>0</v>
      </c>
    </row>
    <row r="363" hidden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1"/>
      <c r="M363" s="22" t="b">
        <v>0</v>
      </c>
      <c r="O363" s="22" t="b">
        <v>0</v>
      </c>
      <c r="P363" s="23" t="b">
        <v>0</v>
      </c>
    </row>
    <row r="364" hidden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1"/>
      <c r="M364" s="22" t="b">
        <v>0</v>
      </c>
      <c r="O364" s="22" t="b">
        <v>0</v>
      </c>
      <c r="P364" s="23" t="b">
        <v>0</v>
      </c>
    </row>
    <row r="365" hidden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1"/>
      <c r="M365" s="22" t="b">
        <v>0</v>
      </c>
      <c r="O365" s="22" t="b">
        <v>0</v>
      </c>
      <c r="P365" s="23" t="b">
        <v>0</v>
      </c>
    </row>
    <row r="366" hidden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1"/>
      <c r="M366" s="22" t="b">
        <v>0</v>
      </c>
      <c r="O366" s="22" t="b">
        <v>0</v>
      </c>
      <c r="P366" s="23" t="b">
        <v>0</v>
      </c>
    </row>
    <row r="367" hidden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1"/>
      <c r="M367" s="22" t="b">
        <v>0</v>
      </c>
      <c r="O367" s="22" t="b">
        <v>0</v>
      </c>
      <c r="P367" s="23" t="b">
        <v>0</v>
      </c>
    </row>
    <row r="368" hidden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1"/>
      <c r="M368" s="22" t="b">
        <v>0</v>
      </c>
      <c r="O368" s="22" t="b">
        <v>0</v>
      </c>
      <c r="P368" s="23" t="b">
        <v>0</v>
      </c>
    </row>
    <row r="369" hidden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1"/>
      <c r="M369" s="22" t="b">
        <v>0</v>
      </c>
      <c r="O369" s="22" t="b">
        <v>0</v>
      </c>
      <c r="P369" s="23" t="b">
        <v>0</v>
      </c>
    </row>
    <row r="370" hidden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1"/>
      <c r="M370" s="22" t="b">
        <v>0</v>
      </c>
      <c r="O370" s="22" t="b">
        <v>0</v>
      </c>
      <c r="P370" s="23" t="b">
        <v>0</v>
      </c>
    </row>
    <row r="371" hidden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1"/>
      <c r="M371" s="22" t="b">
        <v>0</v>
      </c>
      <c r="O371" s="22" t="b">
        <v>0</v>
      </c>
      <c r="P371" s="23" t="b">
        <v>0</v>
      </c>
    </row>
    <row r="372" hidden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1"/>
      <c r="M372" s="22" t="b">
        <v>0</v>
      </c>
      <c r="O372" s="22" t="b">
        <v>0</v>
      </c>
      <c r="P372" s="23" t="b">
        <v>0</v>
      </c>
    </row>
    <row r="373" hidden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1"/>
      <c r="M373" s="22" t="b">
        <v>0</v>
      </c>
      <c r="O373" s="22" t="b">
        <v>0</v>
      </c>
      <c r="P373" s="23" t="b">
        <v>0</v>
      </c>
    </row>
    <row r="374" hidden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1"/>
      <c r="M374" s="22" t="b">
        <v>0</v>
      </c>
      <c r="O374" s="22" t="b">
        <v>0</v>
      </c>
      <c r="P374" s="23" t="b">
        <v>0</v>
      </c>
    </row>
    <row r="375" hidden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1"/>
      <c r="M375" s="22" t="b">
        <v>0</v>
      </c>
      <c r="O375" s="22" t="b">
        <v>0</v>
      </c>
      <c r="P375" s="23" t="b">
        <v>0</v>
      </c>
    </row>
    <row r="376" hidden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1"/>
      <c r="M376" s="22" t="b">
        <v>0</v>
      </c>
      <c r="O376" s="22" t="b">
        <v>0</v>
      </c>
      <c r="P376" s="23" t="b">
        <v>0</v>
      </c>
    </row>
    <row r="377" hidden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1"/>
      <c r="M377" s="22" t="b">
        <v>0</v>
      </c>
      <c r="O377" s="22" t="b">
        <v>0</v>
      </c>
      <c r="P377" s="23" t="b">
        <v>0</v>
      </c>
    </row>
    <row r="378" hidden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1"/>
      <c r="M378" s="22" t="b">
        <v>0</v>
      </c>
      <c r="O378" s="22" t="b">
        <v>0</v>
      </c>
      <c r="P378" s="23" t="b">
        <v>0</v>
      </c>
    </row>
    <row r="379" hidden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1"/>
      <c r="M379" s="22" t="b">
        <v>0</v>
      </c>
      <c r="O379" s="22" t="b">
        <v>0</v>
      </c>
      <c r="P379" s="23" t="b">
        <v>0</v>
      </c>
    </row>
    <row r="380" hidden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1"/>
      <c r="M380" s="22" t="b">
        <v>0</v>
      </c>
      <c r="O380" s="22" t="b">
        <v>0</v>
      </c>
      <c r="P380" s="23" t="b">
        <v>0</v>
      </c>
    </row>
    <row r="381" hidden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1"/>
      <c r="M381" s="22" t="b">
        <v>0</v>
      </c>
      <c r="O381" s="22" t="b">
        <v>0</v>
      </c>
      <c r="P381" s="23" t="b">
        <v>0</v>
      </c>
    </row>
    <row r="382" hidden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1"/>
      <c r="M382" s="22" t="b">
        <v>0</v>
      </c>
      <c r="O382" s="22" t="b">
        <v>0</v>
      </c>
      <c r="P382" s="23" t="b">
        <v>0</v>
      </c>
    </row>
    <row r="383" hidden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1"/>
      <c r="M383" s="22" t="b">
        <v>0</v>
      </c>
      <c r="O383" s="22" t="b">
        <v>0</v>
      </c>
      <c r="P383" s="23" t="b">
        <v>0</v>
      </c>
    </row>
    <row r="384" hidden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1"/>
      <c r="M384" s="22" t="b">
        <v>0</v>
      </c>
      <c r="O384" s="22" t="b">
        <v>0</v>
      </c>
      <c r="P384" s="23" t="b">
        <v>0</v>
      </c>
    </row>
    <row r="385" hidden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1"/>
      <c r="M385" s="22" t="b">
        <v>0</v>
      </c>
      <c r="O385" s="22" t="b">
        <v>0</v>
      </c>
      <c r="P385" s="23" t="b">
        <v>0</v>
      </c>
    </row>
    <row r="386" hidden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1"/>
      <c r="M386" s="22" t="b">
        <v>0</v>
      </c>
      <c r="O386" s="22" t="b">
        <v>0</v>
      </c>
      <c r="P386" s="23" t="b">
        <v>0</v>
      </c>
    </row>
    <row r="387" hidden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1"/>
      <c r="M387" s="22" t="b">
        <v>0</v>
      </c>
      <c r="O387" s="22" t="b">
        <v>0</v>
      </c>
      <c r="P387" s="23" t="b">
        <v>0</v>
      </c>
    </row>
    <row r="388" hidden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1"/>
      <c r="M388" s="22" t="b">
        <v>0</v>
      </c>
      <c r="O388" s="22" t="b">
        <v>0</v>
      </c>
      <c r="P388" s="23" t="b">
        <v>0</v>
      </c>
    </row>
    <row r="389" hidden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1"/>
      <c r="M389" s="22" t="b">
        <v>0</v>
      </c>
      <c r="O389" s="22" t="b">
        <v>0</v>
      </c>
      <c r="P389" s="23" t="b">
        <v>0</v>
      </c>
    </row>
    <row r="390" hidden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1"/>
      <c r="M390" s="22" t="b">
        <v>0</v>
      </c>
      <c r="O390" s="22" t="b">
        <v>0</v>
      </c>
      <c r="P390" s="23" t="b">
        <v>0</v>
      </c>
    </row>
    <row r="391" hidden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1"/>
      <c r="M391" s="22" t="b">
        <v>0</v>
      </c>
      <c r="O391" s="22" t="b">
        <v>0</v>
      </c>
      <c r="P391" s="23" t="b">
        <v>0</v>
      </c>
    </row>
    <row r="392" hidden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1"/>
      <c r="M392" s="22" t="b">
        <v>0</v>
      </c>
      <c r="O392" s="22" t="b">
        <v>0</v>
      </c>
      <c r="P392" s="23" t="b">
        <v>0</v>
      </c>
    </row>
    <row r="393" hidden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1"/>
      <c r="M393" s="22" t="b">
        <v>0</v>
      </c>
      <c r="O393" s="22" t="b">
        <v>0</v>
      </c>
      <c r="P393" s="23" t="b">
        <v>0</v>
      </c>
    </row>
    <row r="394" hidden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1"/>
      <c r="M394" s="22" t="b">
        <v>0</v>
      </c>
      <c r="O394" s="22" t="b">
        <v>0</v>
      </c>
      <c r="P394" s="23" t="b">
        <v>0</v>
      </c>
    </row>
    <row r="395" hidden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1"/>
      <c r="M395" s="22" t="b">
        <v>0</v>
      </c>
      <c r="O395" s="22" t="b">
        <v>0</v>
      </c>
      <c r="P395" s="23" t="b">
        <v>0</v>
      </c>
    </row>
    <row r="396" hidden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1"/>
      <c r="M396" s="22" t="b">
        <v>0</v>
      </c>
      <c r="O396" s="22" t="b">
        <v>0</v>
      </c>
      <c r="P396" s="23" t="b">
        <v>0</v>
      </c>
    </row>
    <row r="397" hidden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1"/>
      <c r="M397" s="22" t="b">
        <v>0</v>
      </c>
      <c r="O397" s="22" t="b">
        <v>0</v>
      </c>
      <c r="P397" s="23" t="b">
        <v>0</v>
      </c>
    </row>
    <row r="398" hidden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1"/>
      <c r="M398" s="22" t="b">
        <v>0</v>
      </c>
      <c r="O398" s="22" t="b">
        <v>0</v>
      </c>
      <c r="P398" s="23" t="b">
        <v>0</v>
      </c>
    </row>
    <row r="399" hidden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1"/>
      <c r="M399" s="22" t="b">
        <v>0</v>
      </c>
      <c r="O399" s="22" t="b">
        <v>0</v>
      </c>
      <c r="P399" s="23" t="b">
        <v>0</v>
      </c>
    </row>
    <row r="400" hidden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1"/>
      <c r="M400" s="22" t="b">
        <v>0</v>
      </c>
      <c r="O400" s="22" t="b">
        <v>0</v>
      </c>
      <c r="P400" s="23" t="b">
        <v>0</v>
      </c>
    </row>
    <row r="401" hidden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1"/>
      <c r="M401" s="22" t="b">
        <v>0</v>
      </c>
      <c r="O401" s="22" t="b">
        <v>0</v>
      </c>
      <c r="P401" s="23" t="b">
        <v>0</v>
      </c>
    </row>
    <row r="402" hidden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1"/>
      <c r="M402" s="22" t="b">
        <v>0</v>
      </c>
      <c r="O402" s="22" t="b">
        <v>0</v>
      </c>
      <c r="P402" s="23" t="b">
        <v>0</v>
      </c>
    </row>
    <row r="403" hidden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1"/>
      <c r="M403" s="22" t="b">
        <v>0</v>
      </c>
      <c r="O403" s="22" t="b">
        <v>0</v>
      </c>
      <c r="P403" s="23" t="b">
        <v>0</v>
      </c>
    </row>
    <row r="404" hidden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1"/>
      <c r="M404" s="22" t="b">
        <v>0</v>
      </c>
      <c r="O404" s="22" t="b">
        <v>0</v>
      </c>
      <c r="P404" s="23" t="b">
        <v>0</v>
      </c>
    </row>
    <row r="405" hidden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1"/>
      <c r="M405" s="22" t="b">
        <v>0</v>
      </c>
      <c r="O405" s="22" t="b">
        <v>0</v>
      </c>
      <c r="P405" s="23" t="b">
        <v>0</v>
      </c>
    </row>
    <row r="406" hidden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1"/>
      <c r="M406" s="22" t="b">
        <v>0</v>
      </c>
      <c r="O406" s="22" t="b">
        <v>0</v>
      </c>
      <c r="P406" s="23" t="b">
        <v>0</v>
      </c>
    </row>
    <row r="407" hidden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1"/>
      <c r="M407" s="22" t="b">
        <v>0</v>
      </c>
      <c r="O407" s="22" t="b">
        <v>0</v>
      </c>
      <c r="P407" s="23" t="b">
        <v>0</v>
      </c>
    </row>
    <row r="408" hidden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1"/>
      <c r="M408" s="22" t="b">
        <v>0</v>
      </c>
      <c r="O408" s="22" t="b">
        <v>0</v>
      </c>
      <c r="P408" s="23" t="b">
        <v>0</v>
      </c>
    </row>
    <row r="409" hidden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1"/>
      <c r="M409" s="22" t="b">
        <v>0</v>
      </c>
      <c r="O409" s="22" t="b">
        <v>0</v>
      </c>
      <c r="P409" s="23" t="b">
        <v>0</v>
      </c>
    </row>
    <row r="410" hidden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1"/>
      <c r="M410" s="22" t="b">
        <v>0</v>
      </c>
      <c r="O410" s="22" t="b">
        <v>0</v>
      </c>
      <c r="P410" s="23" t="b">
        <v>0</v>
      </c>
    </row>
    <row r="411" hidden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1"/>
      <c r="M411" s="22" t="b">
        <v>0</v>
      </c>
      <c r="O411" s="22" t="b">
        <v>0</v>
      </c>
      <c r="P411" s="23" t="b">
        <v>0</v>
      </c>
    </row>
    <row r="412" hidden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1"/>
      <c r="M412" s="22" t="b">
        <v>0</v>
      </c>
      <c r="O412" s="22" t="b">
        <v>0</v>
      </c>
      <c r="P412" s="23" t="b">
        <v>0</v>
      </c>
    </row>
    <row r="413" hidden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1"/>
      <c r="M413" s="22" t="b">
        <v>0</v>
      </c>
      <c r="O413" s="22" t="b">
        <v>0</v>
      </c>
      <c r="P413" s="23" t="b">
        <v>0</v>
      </c>
    </row>
    <row r="414" hidden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1"/>
      <c r="M414" s="22" t="b">
        <v>0</v>
      </c>
      <c r="O414" s="22" t="b">
        <v>0</v>
      </c>
      <c r="P414" s="23" t="b">
        <v>0</v>
      </c>
    </row>
    <row r="415" hidden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1"/>
      <c r="M415" s="22" t="b">
        <v>0</v>
      </c>
      <c r="O415" s="22" t="b">
        <v>0</v>
      </c>
      <c r="P415" s="23" t="b">
        <v>0</v>
      </c>
    </row>
    <row r="416" hidden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1"/>
      <c r="M416" s="22" t="b">
        <v>0</v>
      </c>
      <c r="O416" s="22" t="b">
        <v>0</v>
      </c>
      <c r="P416" s="23" t="b">
        <v>0</v>
      </c>
    </row>
    <row r="417" hidden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1"/>
      <c r="M417" s="22" t="b">
        <v>0</v>
      </c>
      <c r="O417" s="22" t="b">
        <v>0</v>
      </c>
      <c r="P417" s="23" t="b">
        <v>0</v>
      </c>
    </row>
    <row r="418" hidden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1"/>
      <c r="M418" s="22" t="b">
        <v>0</v>
      </c>
      <c r="O418" s="22" t="b">
        <v>0</v>
      </c>
      <c r="P418" s="23" t="b">
        <v>0</v>
      </c>
    </row>
    <row r="419" hidden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1"/>
      <c r="M419" s="22" t="b">
        <v>0</v>
      </c>
      <c r="O419" s="22" t="b">
        <v>0</v>
      </c>
      <c r="P419" s="23" t="b">
        <v>0</v>
      </c>
    </row>
    <row r="420" hidden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1"/>
      <c r="M420" s="22" t="b">
        <v>0</v>
      </c>
      <c r="O420" s="22" t="b">
        <v>0</v>
      </c>
      <c r="P420" s="23" t="b">
        <v>0</v>
      </c>
    </row>
    <row r="421" hidden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1"/>
      <c r="M421" s="22" t="b">
        <v>0</v>
      </c>
      <c r="O421" s="22" t="b">
        <v>0</v>
      </c>
      <c r="P421" s="23" t="b">
        <v>0</v>
      </c>
    </row>
    <row r="422" hidden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1"/>
      <c r="M422" s="22" t="b">
        <v>0</v>
      </c>
      <c r="O422" s="22" t="b">
        <v>0</v>
      </c>
      <c r="P422" s="23" t="b">
        <v>0</v>
      </c>
    </row>
    <row r="423" hidden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1"/>
      <c r="M423" s="22" t="b">
        <v>0</v>
      </c>
      <c r="O423" s="22" t="b">
        <v>0</v>
      </c>
      <c r="P423" s="23" t="b">
        <v>0</v>
      </c>
    </row>
    <row r="424" hidden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1"/>
      <c r="M424" s="22" t="b">
        <v>0</v>
      </c>
      <c r="O424" s="22" t="b">
        <v>0</v>
      </c>
      <c r="P424" s="23" t="b">
        <v>0</v>
      </c>
    </row>
    <row r="425" hidden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1"/>
      <c r="M425" s="22" t="b">
        <v>0</v>
      </c>
      <c r="O425" s="22" t="b">
        <v>0</v>
      </c>
      <c r="P425" s="23" t="b">
        <v>0</v>
      </c>
    </row>
    <row r="426" hidden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1"/>
      <c r="M426" s="22" t="b">
        <v>0</v>
      </c>
      <c r="O426" s="22" t="b">
        <v>0</v>
      </c>
      <c r="P426" s="23" t="b">
        <v>0</v>
      </c>
    </row>
    <row r="427" hidden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1"/>
      <c r="M427" s="22" t="b">
        <v>0</v>
      </c>
      <c r="O427" s="22" t="b">
        <v>0</v>
      </c>
      <c r="P427" s="23" t="b">
        <v>0</v>
      </c>
    </row>
    <row r="428" hidden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1"/>
      <c r="M428" s="22" t="b">
        <v>0</v>
      </c>
      <c r="O428" s="22" t="b">
        <v>0</v>
      </c>
      <c r="P428" s="23" t="b">
        <v>0</v>
      </c>
    </row>
    <row r="429" hidden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1"/>
      <c r="M429" s="22" t="b">
        <v>0</v>
      </c>
      <c r="O429" s="22" t="b">
        <v>0</v>
      </c>
      <c r="P429" s="23" t="b">
        <v>0</v>
      </c>
    </row>
    <row r="430" hidden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1"/>
      <c r="M430" s="22" t="b">
        <v>0</v>
      </c>
      <c r="O430" s="22" t="b">
        <v>0</v>
      </c>
      <c r="P430" s="23" t="b">
        <v>0</v>
      </c>
    </row>
    <row r="431" hidden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1"/>
      <c r="M431" s="22" t="b">
        <v>0</v>
      </c>
      <c r="O431" s="22" t="b">
        <v>0</v>
      </c>
      <c r="P431" s="23" t="b">
        <v>0</v>
      </c>
    </row>
    <row r="432" hidden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1"/>
      <c r="M432" s="22" t="b">
        <v>0</v>
      </c>
      <c r="O432" s="22" t="b">
        <v>0</v>
      </c>
      <c r="P432" s="23" t="b">
        <v>0</v>
      </c>
    </row>
    <row r="433" hidden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1"/>
      <c r="M433" s="22" t="b">
        <v>0</v>
      </c>
      <c r="O433" s="22" t="b">
        <v>0</v>
      </c>
      <c r="P433" s="23" t="b">
        <v>0</v>
      </c>
    </row>
    <row r="434" hidden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1"/>
      <c r="M434" s="22" t="b">
        <v>0</v>
      </c>
      <c r="O434" s="22" t="b">
        <v>0</v>
      </c>
      <c r="P434" s="23" t="b">
        <v>0</v>
      </c>
    </row>
    <row r="435" hidden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1"/>
      <c r="M435" s="22" t="b">
        <v>0</v>
      </c>
      <c r="O435" s="22" t="b">
        <v>0</v>
      </c>
      <c r="P435" s="23" t="b">
        <v>0</v>
      </c>
    </row>
    <row r="436" hidden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1"/>
      <c r="M436" s="22" t="b">
        <v>0</v>
      </c>
      <c r="O436" s="22" t="b">
        <v>0</v>
      </c>
      <c r="P436" s="23" t="b">
        <v>0</v>
      </c>
    </row>
    <row r="437" hidden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1"/>
      <c r="M437" s="22" t="b">
        <v>0</v>
      </c>
      <c r="O437" s="22" t="b">
        <v>0</v>
      </c>
      <c r="P437" s="23" t="b">
        <v>0</v>
      </c>
    </row>
    <row r="438" hidden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1"/>
      <c r="M438" s="22" t="b">
        <v>0</v>
      </c>
      <c r="O438" s="22" t="b">
        <v>0</v>
      </c>
      <c r="P438" s="23" t="b">
        <v>0</v>
      </c>
    </row>
    <row r="439" hidden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1"/>
      <c r="M439" s="22" t="b">
        <v>0</v>
      </c>
      <c r="O439" s="22" t="b">
        <v>0</v>
      </c>
      <c r="P439" s="23" t="b">
        <v>0</v>
      </c>
    </row>
    <row r="440" hidden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1"/>
      <c r="M440" s="22" t="b">
        <v>0</v>
      </c>
      <c r="O440" s="22" t="b">
        <v>0</v>
      </c>
      <c r="P440" s="23" t="b">
        <v>0</v>
      </c>
    </row>
    <row r="441" hidden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1"/>
      <c r="M441" s="22" t="b">
        <v>0</v>
      </c>
      <c r="O441" s="22" t="b">
        <v>0</v>
      </c>
      <c r="P441" s="23" t="b">
        <v>0</v>
      </c>
    </row>
    <row r="442" hidden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1"/>
      <c r="M442" s="22" t="b">
        <v>0</v>
      </c>
      <c r="O442" s="22" t="b">
        <v>0</v>
      </c>
      <c r="P442" s="23" t="b">
        <v>0</v>
      </c>
    </row>
    <row r="443" hidden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1"/>
      <c r="M443" s="22" t="b">
        <v>0</v>
      </c>
      <c r="O443" s="22" t="b">
        <v>0</v>
      </c>
      <c r="P443" s="23" t="b">
        <v>0</v>
      </c>
    </row>
    <row r="444" hidden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1"/>
      <c r="M444" s="22" t="b">
        <v>0</v>
      </c>
      <c r="O444" s="22" t="b">
        <v>0</v>
      </c>
      <c r="P444" s="23" t="b">
        <v>0</v>
      </c>
    </row>
    <row r="445" hidden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1"/>
      <c r="M445" s="22" t="b">
        <v>0</v>
      </c>
      <c r="O445" s="22" t="b">
        <v>0</v>
      </c>
      <c r="P445" s="23" t="b">
        <v>0</v>
      </c>
    </row>
    <row r="446" hidden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1"/>
      <c r="M446" s="22" t="b">
        <v>0</v>
      </c>
      <c r="O446" s="22" t="b">
        <v>0</v>
      </c>
      <c r="P446" s="23" t="b">
        <v>0</v>
      </c>
    </row>
    <row r="447" hidden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1"/>
      <c r="M447" s="22" t="b">
        <v>0</v>
      </c>
      <c r="O447" s="22" t="b">
        <v>0</v>
      </c>
      <c r="P447" s="23" t="b">
        <v>0</v>
      </c>
    </row>
    <row r="448" hidden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1"/>
      <c r="M448" s="22" t="b">
        <v>0</v>
      </c>
      <c r="O448" s="22" t="b">
        <v>0</v>
      </c>
      <c r="P448" s="23" t="b">
        <v>0</v>
      </c>
    </row>
    <row r="449" hidden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1"/>
      <c r="M449" s="22" t="b">
        <v>0</v>
      </c>
      <c r="O449" s="22" t="b">
        <v>0</v>
      </c>
      <c r="P449" s="23" t="b">
        <v>0</v>
      </c>
    </row>
    <row r="450" hidden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1"/>
      <c r="M450" s="22" t="b">
        <v>0</v>
      </c>
      <c r="O450" s="22" t="b">
        <v>0</v>
      </c>
      <c r="P450" s="23" t="b">
        <v>0</v>
      </c>
    </row>
    <row r="451" hidden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1"/>
      <c r="M451" s="22" t="b">
        <v>0</v>
      </c>
      <c r="O451" s="22" t="b">
        <v>0</v>
      </c>
      <c r="P451" s="23" t="b">
        <v>0</v>
      </c>
    </row>
    <row r="452" hidden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1"/>
      <c r="M452" s="22" t="b">
        <v>0</v>
      </c>
      <c r="O452" s="22" t="b">
        <v>0</v>
      </c>
      <c r="P452" s="23" t="b">
        <v>0</v>
      </c>
    </row>
    <row r="453" hidden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1"/>
      <c r="M453" s="22" t="b">
        <v>0</v>
      </c>
      <c r="O453" s="22" t="b">
        <v>0</v>
      </c>
      <c r="P453" s="23" t="b">
        <v>0</v>
      </c>
    </row>
    <row r="454" hidden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1"/>
      <c r="M454" s="22" t="b">
        <v>0</v>
      </c>
      <c r="O454" s="22" t="b">
        <v>0</v>
      </c>
      <c r="P454" s="23" t="b">
        <v>0</v>
      </c>
    </row>
    <row r="455" hidden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1"/>
      <c r="M455" s="22" t="b">
        <v>0</v>
      </c>
      <c r="O455" s="22" t="b">
        <v>0</v>
      </c>
      <c r="P455" s="23" t="b">
        <v>0</v>
      </c>
    </row>
    <row r="456" hidden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1"/>
      <c r="M456" s="22" t="b">
        <v>0</v>
      </c>
      <c r="O456" s="22" t="b">
        <v>0</v>
      </c>
      <c r="P456" s="23" t="b">
        <v>0</v>
      </c>
    </row>
    <row r="457" hidden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1"/>
      <c r="M457" s="22" t="b">
        <v>0</v>
      </c>
      <c r="O457" s="22" t="b">
        <v>0</v>
      </c>
      <c r="P457" s="23" t="b">
        <v>0</v>
      </c>
    </row>
    <row r="458" hidden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1"/>
      <c r="M458" s="22" t="b">
        <v>0</v>
      </c>
      <c r="O458" s="22" t="b">
        <v>0</v>
      </c>
      <c r="P458" s="23" t="b">
        <v>0</v>
      </c>
    </row>
    <row r="459" hidden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1"/>
      <c r="M459" s="22" t="b">
        <v>0</v>
      </c>
      <c r="O459" s="22" t="b">
        <v>0</v>
      </c>
      <c r="P459" s="23" t="b">
        <v>0</v>
      </c>
    </row>
    <row r="460" hidden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1"/>
      <c r="M460" s="22" t="b">
        <v>0</v>
      </c>
      <c r="O460" s="22" t="b">
        <v>0</v>
      </c>
      <c r="P460" s="23" t="b">
        <v>0</v>
      </c>
    </row>
    <row r="461" hidden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1"/>
      <c r="M461" s="22" t="b">
        <v>0</v>
      </c>
      <c r="O461" s="22" t="b">
        <v>0</v>
      </c>
      <c r="P461" s="23" t="b">
        <v>0</v>
      </c>
    </row>
    <row r="462" hidden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1"/>
      <c r="M462" s="22" t="b">
        <v>0</v>
      </c>
      <c r="O462" s="22" t="b">
        <v>0</v>
      </c>
      <c r="P462" s="23" t="b">
        <v>0</v>
      </c>
    </row>
    <row r="463" hidden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1"/>
      <c r="M463" s="22" t="b">
        <v>0</v>
      </c>
      <c r="O463" s="22" t="b">
        <v>0</v>
      </c>
      <c r="P463" s="23" t="b">
        <v>0</v>
      </c>
    </row>
    <row r="464" hidden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1"/>
      <c r="M464" s="22" t="b">
        <v>0</v>
      </c>
      <c r="O464" s="22" t="b">
        <v>0</v>
      </c>
      <c r="P464" s="23" t="b">
        <v>0</v>
      </c>
    </row>
    <row r="465" hidden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1"/>
      <c r="M465" s="22" t="b">
        <v>0</v>
      </c>
      <c r="O465" s="22" t="b">
        <v>0</v>
      </c>
      <c r="P465" s="23" t="b">
        <v>0</v>
      </c>
    </row>
    <row r="466" hidden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1"/>
      <c r="M466" s="22" t="b">
        <v>0</v>
      </c>
      <c r="O466" s="22" t="b">
        <v>0</v>
      </c>
      <c r="P466" s="23" t="b">
        <v>0</v>
      </c>
    </row>
    <row r="467" hidden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1"/>
      <c r="M467" s="22" t="b">
        <v>0</v>
      </c>
      <c r="O467" s="22" t="b">
        <v>0</v>
      </c>
      <c r="P467" s="23" t="b">
        <v>0</v>
      </c>
    </row>
    <row r="468" hidden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1"/>
      <c r="M468" s="22" t="b">
        <v>0</v>
      </c>
      <c r="O468" s="22" t="b">
        <v>0</v>
      </c>
      <c r="P468" s="23" t="b">
        <v>0</v>
      </c>
    </row>
    <row r="469" hidden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1"/>
      <c r="M469" s="22" t="b">
        <v>0</v>
      </c>
      <c r="O469" s="22" t="b">
        <v>0</v>
      </c>
      <c r="P469" s="23" t="b">
        <v>0</v>
      </c>
    </row>
    <row r="470" hidden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1"/>
      <c r="M470" s="22" t="b">
        <v>0</v>
      </c>
      <c r="O470" s="22" t="b">
        <v>0</v>
      </c>
      <c r="P470" s="23" t="b">
        <v>0</v>
      </c>
    </row>
    <row r="471" hidden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1"/>
      <c r="M471" s="22" t="b">
        <v>0</v>
      </c>
      <c r="O471" s="22" t="b">
        <v>0</v>
      </c>
      <c r="P471" s="23" t="b">
        <v>0</v>
      </c>
    </row>
    <row r="472" hidden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1"/>
      <c r="M472" s="22" t="b">
        <v>0</v>
      </c>
      <c r="O472" s="22" t="b">
        <v>0</v>
      </c>
      <c r="P472" s="23" t="b">
        <v>0</v>
      </c>
    </row>
    <row r="473" hidden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1"/>
      <c r="M473" s="22" t="b">
        <v>0</v>
      </c>
      <c r="O473" s="22" t="b">
        <v>0</v>
      </c>
      <c r="P473" s="23" t="b">
        <v>0</v>
      </c>
    </row>
    <row r="474" hidden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1"/>
      <c r="M474" s="22" t="b">
        <v>0</v>
      </c>
      <c r="O474" s="22" t="b">
        <v>0</v>
      </c>
      <c r="P474" s="23" t="b">
        <v>0</v>
      </c>
    </row>
    <row r="475" hidden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1"/>
      <c r="M475" s="22" t="b">
        <v>0</v>
      </c>
      <c r="O475" s="22" t="b">
        <v>0</v>
      </c>
      <c r="P475" s="23" t="b">
        <v>0</v>
      </c>
    </row>
    <row r="476" hidden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1"/>
      <c r="M476" s="22" t="b">
        <v>0</v>
      </c>
      <c r="O476" s="22" t="b">
        <v>0</v>
      </c>
      <c r="P476" s="23" t="b">
        <v>0</v>
      </c>
    </row>
    <row r="477" hidden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1"/>
      <c r="M477" s="22" t="b">
        <v>0</v>
      </c>
      <c r="O477" s="22" t="b">
        <v>0</v>
      </c>
      <c r="P477" s="23" t="b">
        <v>0</v>
      </c>
    </row>
    <row r="478" hidden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1"/>
      <c r="M478" s="22" t="b">
        <v>0</v>
      </c>
      <c r="O478" s="22" t="b">
        <v>0</v>
      </c>
      <c r="P478" s="23" t="b">
        <v>0</v>
      </c>
    </row>
    <row r="479" hidden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1"/>
      <c r="M479" s="22" t="b">
        <v>0</v>
      </c>
      <c r="O479" s="22" t="b">
        <v>0</v>
      </c>
      <c r="P479" s="23" t="b">
        <v>0</v>
      </c>
    </row>
    <row r="480" hidden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1"/>
      <c r="M480" s="22" t="b">
        <v>0</v>
      </c>
      <c r="O480" s="22" t="b">
        <v>0</v>
      </c>
      <c r="P480" s="23" t="b">
        <v>0</v>
      </c>
    </row>
    <row r="481" hidden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1"/>
      <c r="M481" s="22" t="b">
        <v>0</v>
      </c>
      <c r="O481" s="22" t="b">
        <v>0</v>
      </c>
      <c r="P481" s="23" t="b">
        <v>0</v>
      </c>
    </row>
    <row r="482" hidden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1"/>
      <c r="M482" s="22" t="b">
        <v>0</v>
      </c>
      <c r="O482" s="22" t="b">
        <v>0</v>
      </c>
      <c r="P482" s="23" t="b">
        <v>0</v>
      </c>
    </row>
    <row r="483" hidden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1"/>
      <c r="M483" s="22" t="b">
        <v>0</v>
      </c>
      <c r="O483" s="22" t="b">
        <v>0</v>
      </c>
      <c r="P483" s="23" t="b">
        <v>0</v>
      </c>
    </row>
    <row r="484" hidden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1"/>
      <c r="M484" s="22" t="b">
        <v>0</v>
      </c>
      <c r="O484" s="22" t="b">
        <v>0</v>
      </c>
      <c r="P484" s="23" t="b">
        <v>0</v>
      </c>
    </row>
    <row r="485" hidden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1"/>
      <c r="M485" s="22" t="b">
        <v>0</v>
      </c>
      <c r="O485" s="22" t="b">
        <v>0</v>
      </c>
      <c r="P485" s="23" t="b">
        <v>0</v>
      </c>
    </row>
    <row r="486" hidden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1"/>
      <c r="M486" s="22" t="b">
        <v>0</v>
      </c>
      <c r="O486" s="22" t="b">
        <v>0</v>
      </c>
      <c r="P486" s="23" t="b">
        <v>0</v>
      </c>
    </row>
    <row r="487" hidden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1"/>
      <c r="M487" s="22" t="b">
        <v>0</v>
      </c>
      <c r="O487" s="22" t="b">
        <v>0</v>
      </c>
      <c r="P487" s="23" t="b">
        <v>0</v>
      </c>
    </row>
    <row r="488" hidden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1"/>
      <c r="M488" s="22" t="b">
        <v>0</v>
      </c>
      <c r="O488" s="22" t="b">
        <v>0</v>
      </c>
      <c r="P488" s="23" t="b">
        <v>0</v>
      </c>
    </row>
    <row r="489" hidden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1"/>
      <c r="M489" s="22" t="b">
        <v>0</v>
      </c>
      <c r="O489" s="22" t="b">
        <v>0</v>
      </c>
      <c r="P489" s="23" t="b">
        <v>0</v>
      </c>
    </row>
    <row r="490" hidden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1"/>
      <c r="M490" s="22" t="b">
        <v>0</v>
      </c>
      <c r="O490" s="22" t="b">
        <v>0</v>
      </c>
      <c r="P490" s="23" t="b">
        <v>0</v>
      </c>
    </row>
    <row r="491" hidden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1"/>
      <c r="M491" s="22" t="b">
        <v>0</v>
      </c>
      <c r="O491" s="22" t="b">
        <v>0</v>
      </c>
      <c r="P491" s="23" t="b">
        <v>0</v>
      </c>
    </row>
    <row r="492" hidden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1"/>
      <c r="M492" s="22" t="b">
        <v>0</v>
      </c>
      <c r="O492" s="22" t="b">
        <v>0</v>
      </c>
      <c r="P492" s="23" t="b">
        <v>0</v>
      </c>
    </row>
    <row r="493" hidden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1"/>
      <c r="M493" s="22" t="b">
        <v>0</v>
      </c>
      <c r="O493" s="22" t="b">
        <v>0</v>
      </c>
      <c r="P493" s="23" t="b">
        <v>0</v>
      </c>
    </row>
    <row r="494" hidden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1"/>
      <c r="M494" s="22" t="b">
        <v>0</v>
      </c>
      <c r="O494" s="22" t="b">
        <v>0</v>
      </c>
      <c r="P494" s="23" t="b">
        <v>0</v>
      </c>
    </row>
    <row r="495" hidden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1"/>
      <c r="M495" s="22" t="b">
        <v>0</v>
      </c>
      <c r="O495" s="22" t="b">
        <v>0</v>
      </c>
      <c r="P495" s="23" t="b">
        <v>0</v>
      </c>
    </row>
    <row r="496" hidden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1"/>
      <c r="M496" s="22" t="b">
        <v>0</v>
      </c>
      <c r="O496" s="22" t="b">
        <v>0</v>
      </c>
      <c r="P496" s="23" t="b">
        <v>0</v>
      </c>
    </row>
    <row r="497" hidden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1"/>
      <c r="M497" s="22" t="b">
        <v>0</v>
      </c>
      <c r="O497" s="22" t="b">
        <v>0</v>
      </c>
      <c r="P497" s="23" t="b">
        <v>0</v>
      </c>
    </row>
    <row r="498" hidden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1"/>
      <c r="M498" s="22" t="b">
        <v>0</v>
      </c>
      <c r="O498" s="22" t="b">
        <v>0</v>
      </c>
      <c r="P498" s="23" t="b">
        <v>0</v>
      </c>
    </row>
    <row r="499" hidden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1"/>
      <c r="M499" s="22" t="b">
        <v>0</v>
      </c>
      <c r="O499" s="22" t="b">
        <v>0</v>
      </c>
      <c r="P499" s="23" t="b">
        <v>0</v>
      </c>
    </row>
    <row r="500" hidden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1"/>
      <c r="M500" s="22" t="b">
        <v>0</v>
      </c>
      <c r="O500" s="22" t="b">
        <v>0</v>
      </c>
      <c r="P500" s="23" t="b">
        <v>0</v>
      </c>
    </row>
    <row r="501" hidden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1"/>
      <c r="M501" s="22" t="b">
        <v>0</v>
      </c>
      <c r="O501" s="22" t="b">
        <v>0</v>
      </c>
      <c r="P501" s="23" t="b">
        <v>0</v>
      </c>
    </row>
    <row r="502" hidden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1"/>
      <c r="M502" s="22" t="b">
        <v>0</v>
      </c>
      <c r="O502" s="22" t="b">
        <v>0</v>
      </c>
      <c r="P502" s="23" t="b">
        <v>0</v>
      </c>
    </row>
    <row r="503" hidden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1"/>
      <c r="M503" s="22" t="b">
        <v>0</v>
      </c>
      <c r="O503" s="22" t="b">
        <v>0</v>
      </c>
      <c r="P503" s="23" t="b">
        <v>0</v>
      </c>
    </row>
    <row r="504" hidden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1"/>
      <c r="M504" s="22" t="b">
        <v>0</v>
      </c>
      <c r="O504" s="22" t="b">
        <v>0</v>
      </c>
      <c r="P504" s="23" t="b">
        <v>0</v>
      </c>
    </row>
    <row r="505" hidden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1"/>
      <c r="M505" s="22" t="b">
        <v>0</v>
      </c>
      <c r="O505" s="22" t="b">
        <v>0</v>
      </c>
      <c r="P505" s="23" t="b">
        <v>0</v>
      </c>
    </row>
    <row r="506" hidden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1"/>
      <c r="M506" s="22" t="b">
        <v>0</v>
      </c>
      <c r="O506" s="22" t="b">
        <v>0</v>
      </c>
      <c r="P506" s="23" t="b">
        <v>0</v>
      </c>
    </row>
    <row r="507" hidden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1"/>
      <c r="M507" s="22" t="b">
        <v>0</v>
      </c>
      <c r="O507" s="22" t="b">
        <v>0</v>
      </c>
      <c r="P507" s="23" t="b">
        <v>0</v>
      </c>
    </row>
    <row r="508" hidden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1"/>
      <c r="M508" s="22" t="b">
        <v>0</v>
      </c>
      <c r="O508" s="22" t="b">
        <v>0</v>
      </c>
      <c r="P508" s="23" t="b">
        <v>0</v>
      </c>
    </row>
    <row r="509" hidden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1"/>
      <c r="M509" s="22" t="b">
        <v>0</v>
      </c>
      <c r="O509" s="22" t="b">
        <v>0</v>
      </c>
      <c r="P509" s="23" t="b">
        <v>0</v>
      </c>
    </row>
    <row r="510" hidden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1"/>
      <c r="M510" s="22" t="b">
        <v>0</v>
      </c>
      <c r="O510" s="22" t="b">
        <v>0</v>
      </c>
      <c r="P510" s="23" t="b">
        <v>0</v>
      </c>
    </row>
    <row r="511" hidden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1"/>
      <c r="M511" s="22" t="b">
        <v>0</v>
      </c>
      <c r="O511" s="22" t="b">
        <v>0</v>
      </c>
      <c r="P511" s="23" t="b">
        <v>0</v>
      </c>
    </row>
    <row r="512" hidden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1"/>
      <c r="M512" s="22" t="b">
        <v>0</v>
      </c>
      <c r="O512" s="22" t="b">
        <v>0</v>
      </c>
      <c r="P512" s="23" t="b">
        <v>0</v>
      </c>
    </row>
    <row r="513" hidden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1"/>
      <c r="M513" s="22" t="b">
        <v>0</v>
      </c>
      <c r="O513" s="22" t="b">
        <v>0</v>
      </c>
      <c r="P513" s="23" t="b">
        <v>0</v>
      </c>
    </row>
    <row r="514" hidden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1"/>
      <c r="M514" s="22" t="b">
        <v>0</v>
      </c>
      <c r="O514" s="22" t="b">
        <v>0</v>
      </c>
      <c r="P514" s="23" t="b">
        <v>0</v>
      </c>
    </row>
    <row r="515" hidden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1"/>
      <c r="M515" s="22" t="b">
        <v>0</v>
      </c>
      <c r="O515" s="22" t="b">
        <v>0</v>
      </c>
      <c r="P515" s="23" t="b">
        <v>0</v>
      </c>
    </row>
    <row r="516" hidden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1"/>
      <c r="M516" s="22" t="b">
        <v>0</v>
      </c>
      <c r="O516" s="22" t="b">
        <v>0</v>
      </c>
      <c r="P516" s="23" t="b">
        <v>0</v>
      </c>
    </row>
    <row r="517" hidden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1"/>
      <c r="M517" s="22" t="b">
        <v>0</v>
      </c>
      <c r="O517" s="22" t="b">
        <v>0</v>
      </c>
      <c r="P517" s="23" t="b">
        <v>0</v>
      </c>
    </row>
    <row r="518" hidden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1"/>
      <c r="M518" s="22" t="b">
        <v>0</v>
      </c>
      <c r="O518" s="22" t="b">
        <v>0</v>
      </c>
      <c r="P518" s="23" t="b">
        <v>0</v>
      </c>
    </row>
    <row r="519" hidden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1"/>
      <c r="M519" s="22" t="b">
        <v>0</v>
      </c>
      <c r="O519" s="22" t="b">
        <v>0</v>
      </c>
      <c r="P519" s="23" t="b">
        <v>0</v>
      </c>
    </row>
    <row r="520" hidden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1"/>
      <c r="M520" s="22" t="b">
        <v>0</v>
      </c>
      <c r="O520" s="22" t="b">
        <v>0</v>
      </c>
      <c r="P520" s="23" t="b">
        <v>0</v>
      </c>
    </row>
    <row r="521" hidden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1"/>
      <c r="M521" s="22" t="b">
        <v>0</v>
      </c>
      <c r="O521" s="22" t="b">
        <v>0</v>
      </c>
      <c r="P521" s="23" t="b">
        <v>0</v>
      </c>
    </row>
    <row r="522" hidden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1"/>
      <c r="M522" s="22" t="b">
        <v>0</v>
      </c>
      <c r="O522" s="22" t="b">
        <v>0</v>
      </c>
      <c r="P522" s="23" t="b">
        <v>0</v>
      </c>
    </row>
    <row r="523" hidden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1"/>
      <c r="M523" s="22" t="b">
        <v>0</v>
      </c>
      <c r="O523" s="22" t="b">
        <v>0</v>
      </c>
      <c r="P523" s="23" t="b">
        <v>0</v>
      </c>
    </row>
    <row r="524" hidden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1"/>
      <c r="M524" s="22" t="b">
        <v>0</v>
      </c>
      <c r="O524" s="22" t="b">
        <v>0</v>
      </c>
      <c r="P524" s="23" t="b">
        <v>0</v>
      </c>
    </row>
    <row r="525" hidden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1"/>
      <c r="M525" s="22" t="b">
        <v>0</v>
      </c>
      <c r="O525" s="22" t="b">
        <v>0</v>
      </c>
      <c r="P525" s="23" t="b">
        <v>0</v>
      </c>
    </row>
    <row r="526" hidden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1"/>
      <c r="M526" s="22" t="b">
        <v>0</v>
      </c>
      <c r="O526" s="22" t="b">
        <v>0</v>
      </c>
      <c r="P526" s="23" t="b">
        <v>0</v>
      </c>
    </row>
    <row r="527" hidden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1"/>
      <c r="M527" s="22" t="b">
        <v>0</v>
      </c>
      <c r="O527" s="22" t="b">
        <v>0</v>
      </c>
      <c r="P527" s="23" t="b">
        <v>0</v>
      </c>
    </row>
    <row r="528" hidden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1"/>
      <c r="M528" s="22" t="b">
        <v>0</v>
      </c>
      <c r="O528" s="22" t="b">
        <v>0</v>
      </c>
      <c r="P528" s="23" t="b">
        <v>0</v>
      </c>
    </row>
    <row r="529" hidden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1"/>
      <c r="M529" s="22" t="b">
        <v>0</v>
      </c>
      <c r="O529" s="22" t="b">
        <v>0</v>
      </c>
      <c r="P529" s="23" t="b">
        <v>0</v>
      </c>
    </row>
    <row r="530" hidden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1"/>
      <c r="M530" s="22" t="b">
        <v>0</v>
      </c>
      <c r="O530" s="22" t="b">
        <v>0</v>
      </c>
      <c r="P530" s="23" t="b">
        <v>0</v>
      </c>
    </row>
    <row r="531" hidden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1"/>
      <c r="M531" s="22" t="b">
        <v>0</v>
      </c>
      <c r="O531" s="22" t="b">
        <v>0</v>
      </c>
      <c r="P531" s="23" t="b">
        <v>0</v>
      </c>
    </row>
    <row r="532" hidden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1"/>
      <c r="M532" s="22" t="b">
        <v>0</v>
      </c>
      <c r="O532" s="22" t="b">
        <v>0</v>
      </c>
      <c r="P532" s="23" t="b">
        <v>0</v>
      </c>
    </row>
    <row r="533" hidden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1"/>
      <c r="M533" s="22" t="b">
        <v>0</v>
      </c>
      <c r="O533" s="22" t="b">
        <v>0</v>
      </c>
      <c r="P533" s="23" t="b">
        <v>0</v>
      </c>
    </row>
    <row r="534" hidden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1"/>
      <c r="M534" s="22" t="b">
        <v>0</v>
      </c>
      <c r="O534" s="22" t="b">
        <v>0</v>
      </c>
      <c r="P534" s="23" t="b">
        <v>0</v>
      </c>
    </row>
    <row r="535" hidden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1"/>
      <c r="M535" s="22" t="b">
        <v>0</v>
      </c>
      <c r="O535" s="22" t="b">
        <v>0</v>
      </c>
      <c r="P535" s="23" t="b">
        <v>0</v>
      </c>
    </row>
    <row r="536" hidden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1"/>
      <c r="M536" s="22" t="b">
        <v>0</v>
      </c>
      <c r="O536" s="22" t="b">
        <v>0</v>
      </c>
      <c r="P536" s="23" t="b">
        <v>0</v>
      </c>
    </row>
    <row r="537" hidden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1"/>
      <c r="M537" s="22" t="b">
        <v>0</v>
      </c>
      <c r="O537" s="22" t="b">
        <v>0</v>
      </c>
      <c r="P537" s="23" t="b">
        <v>0</v>
      </c>
    </row>
    <row r="538" hidden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1"/>
      <c r="M538" s="22" t="b">
        <v>0</v>
      </c>
      <c r="O538" s="22" t="b">
        <v>0</v>
      </c>
      <c r="P538" s="23" t="b">
        <v>0</v>
      </c>
    </row>
    <row r="539" hidden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1"/>
      <c r="M539" s="22" t="b">
        <v>0</v>
      </c>
      <c r="O539" s="22" t="b">
        <v>0</v>
      </c>
      <c r="P539" s="23" t="b">
        <v>0</v>
      </c>
    </row>
    <row r="540" hidden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1"/>
      <c r="M540" s="22" t="b">
        <v>0</v>
      </c>
      <c r="O540" s="22" t="b">
        <v>0</v>
      </c>
      <c r="P540" s="23" t="b">
        <v>0</v>
      </c>
    </row>
    <row r="541" hidden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1"/>
      <c r="M541" s="22" t="b">
        <v>0</v>
      </c>
      <c r="O541" s="22" t="b">
        <v>0</v>
      </c>
      <c r="P541" s="23" t="b">
        <v>0</v>
      </c>
    </row>
    <row r="542" hidden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1"/>
      <c r="M542" s="22" t="b">
        <v>0</v>
      </c>
      <c r="O542" s="22" t="b">
        <v>0</v>
      </c>
      <c r="P542" s="23" t="b">
        <v>0</v>
      </c>
    </row>
    <row r="543" hidden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1"/>
      <c r="M543" s="22" t="b">
        <v>0</v>
      </c>
      <c r="O543" s="22" t="b">
        <v>0</v>
      </c>
      <c r="P543" s="23" t="b">
        <v>0</v>
      </c>
    </row>
    <row r="544" hidden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1"/>
      <c r="M544" s="22" t="b">
        <v>0</v>
      </c>
      <c r="O544" s="22" t="b">
        <v>0</v>
      </c>
      <c r="P544" s="23" t="b">
        <v>0</v>
      </c>
    </row>
    <row r="545" hidden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1"/>
      <c r="M545" s="22" t="b">
        <v>0</v>
      </c>
      <c r="O545" s="22" t="b">
        <v>0</v>
      </c>
      <c r="P545" s="23" t="b">
        <v>0</v>
      </c>
    </row>
    <row r="546" hidden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1"/>
      <c r="M546" s="22" t="b">
        <v>0</v>
      </c>
      <c r="O546" s="22" t="b">
        <v>0</v>
      </c>
      <c r="P546" s="23" t="b">
        <v>0</v>
      </c>
    </row>
    <row r="547" hidden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1"/>
      <c r="M547" s="22" t="b">
        <v>0</v>
      </c>
      <c r="O547" s="22" t="b">
        <v>0</v>
      </c>
      <c r="P547" s="23" t="b">
        <v>0</v>
      </c>
    </row>
    <row r="548" hidden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1"/>
      <c r="M548" s="22" t="b">
        <v>0</v>
      </c>
      <c r="O548" s="22" t="b">
        <v>0</v>
      </c>
      <c r="P548" s="23" t="b">
        <v>0</v>
      </c>
    </row>
    <row r="549" hidden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1"/>
      <c r="M549" s="22" t="b">
        <v>0</v>
      </c>
      <c r="O549" s="22" t="b">
        <v>0</v>
      </c>
      <c r="P549" s="23" t="b">
        <v>0</v>
      </c>
    </row>
    <row r="550" hidden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1"/>
      <c r="M550" s="22" t="b">
        <v>0</v>
      </c>
      <c r="O550" s="22" t="b">
        <v>0</v>
      </c>
      <c r="P550" s="23" t="b">
        <v>0</v>
      </c>
    </row>
    <row r="551" hidden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1"/>
      <c r="M551" s="22" t="b">
        <v>0</v>
      </c>
      <c r="O551" s="22" t="b">
        <v>0</v>
      </c>
      <c r="P551" s="23" t="b">
        <v>0</v>
      </c>
    </row>
    <row r="552" hidden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1"/>
      <c r="M552" s="22" t="b">
        <v>0</v>
      </c>
      <c r="O552" s="22" t="b">
        <v>0</v>
      </c>
      <c r="P552" s="23" t="b">
        <v>0</v>
      </c>
    </row>
    <row r="553" hidden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1"/>
      <c r="M553" s="22" t="b">
        <v>0</v>
      </c>
      <c r="O553" s="22" t="b">
        <v>0</v>
      </c>
      <c r="P553" s="23" t="b">
        <v>0</v>
      </c>
    </row>
    <row r="554" hidden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1"/>
      <c r="M554" s="22" t="b">
        <v>0</v>
      </c>
      <c r="O554" s="22" t="b">
        <v>0</v>
      </c>
      <c r="P554" s="23" t="b">
        <v>0</v>
      </c>
    </row>
    <row r="555" hidden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1"/>
      <c r="M555" s="22" t="b">
        <v>0</v>
      </c>
      <c r="O555" s="22" t="b">
        <v>0</v>
      </c>
      <c r="P555" s="23" t="b">
        <v>0</v>
      </c>
    </row>
    <row r="556" hidden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1"/>
      <c r="M556" s="22" t="b">
        <v>0</v>
      </c>
      <c r="O556" s="22" t="b">
        <v>0</v>
      </c>
      <c r="P556" s="23" t="b">
        <v>0</v>
      </c>
    </row>
    <row r="557" hidden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1"/>
      <c r="M557" s="22" t="b">
        <v>0</v>
      </c>
      <c r="O557" s="22" t="b">
        <v>0</v>
      </c>
      <c r="P557" s="23" t="b">
        <v>0</v>
      </c>
    </row>
    <row r="558" hidden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1"/>
      <c r="M558" s="22" t="b">
        <v>0</v>
      </c>
      <c r="O558" s="22" t="b">
        <v>0</v>
      </c>
      <c r="P558" s="23" t="b">
        <v>0</v>
      </c>
    </row>
    <row r="559" hidden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1"/>
      <c r="M559" s="22" t="b">
        <v>0</v>
      </c>
      <c r="O559" s="22" t="b">
        <v>0</v>
      </c>
      <c r="P559" s="23" t="b">
        <v>0</v>
      </c>
    </row>
    <row r="560" hidden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1"/>
      <c r="M560" s="22" t="b">
        <v>0</v>
      </c>
      <c r="O560" s="22" t="b">
        <v>0</v>
      </c>
      <c r="P560" s="23" t="b">
        <v>0</v>
      </c>
    </row>
    <row r="561" hidden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1"/>
      <c r="M561" s="22" t="b">
        <v>0</v>
      </c>
      <c r="O561" s="22" t="b">
        <v>0</v>
      </c>
      <c r="P561" s="23" t="b">
        <v>0</v>
      </c>
    </row>
    <row r="562" hidden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1"/>
      <c r="M562" s="22" t="b">
        <v>0</v>
      </c>
      <c r="O562" s="22" t="b">
        <v>0</v>
      </c>
      <c r="P562" s="23" t="b">
        <v>0</v>
      </c>
    </row>
    <row r="563" hidden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1"/>
      <c r="M563" s="22" t="b">
        <v>0</v>
      </c>
      <c r="O563" s="22" t="b">
        <v>0</v>
      </c>
      <c r="P563" s="23" t="b">
        <v>0</v>
      </c>
    </row>
    <row r="564" hidden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1"/>
      <c r="M564" s="22" t="b">
        <v>0</v>
      </c>
      <c r="O564" s="22" t="b">
        <v>0</v>
      </c>
      <c r="P564" s="23" t="b">
        <v>0</v>
      </c>
    </row>
    <row r="565" hidden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1"/>
      <c r="M565" s="22" t="b">
        <v>0</v>
      </c>
      <c r="O565" s="22" t="b">
        <v>0</v>
      </c>
      <c r="P565" s="23" t="b">
        <v>0</v>
      </c>
    </row>
    <row r="566" hidden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1"/>
      <c r="M566" s="22" t="b">
        <v>0</v>
      </c>
      <c r="O566" s="22" t="b">
        <v>0</v>
      </c>
      <c r="P566" s="23" t="b">
        <v>0</v>
      </c>
    </row>
    <row r="567" hidden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1"/>
      <c r="M567" s="22" t="b">
        <v>0</v>
      </c>
      <c r="O567" s="22" t="b">
        <v>0</v>
      </c>
      <c r="P567" s="23" t="b">
        <v>0</v>
      </c>
    </row>
    <row r="568" hidden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1"/>
      <c r="M568" s="22" t="b">
        <v>0</v>
      </c>
      <c r="O568" s="22" t="b">
        <v>0</v>
      </c>
      <c r="P568" s="23" t="b">
        <v>0</v>
      </c>
    </row>
    <row r="569" hidden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1"/>
      <c r="M569" s="22" t="b">
        <v>0</v>
      </c>
      <c r="O569" s="22" t="b">
        <v>0</v>
      </c>
      <c r="P569" s="23" t="b">
        <v>0</v>
      </c>
    </row>
    <row r="570" hidden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1"/>
      <c r="M570" s="22" t="b">
        <v>0</v>
      </c>
      <c r="O570" s="22" t="b">
        <v>0</v>
      </c>
      <c r="P570" s="23" t="b">
        <v>0</v>
      </c>
    </row>
    <row r="571" hidden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1"/>
      <c r="M571" s="22" t="b">
        <v>0</v>
      </c>
      <c r="O571" s="22" t="b">
        <v>0</v>
      </c>
      <c r="P571" s="23" t="b">
        <v>0</v>
      </c>
    </row>
    <row r="572" hidden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1"/>
      <c r="M572" s="22" t="b">
        <v>0</v>
      </c>
      <c r="O572" s="22" t="b">
        <v>0</v>
      </c>
      <c r="P572" s="23" t="b">
        <v>0</v>
      </c>
    </row>
    <row r="573" hidden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1"/>
      <c r="M573" s="22" t="b">
        <v>0</v>
      </c>
      <c r="O573" s="22" t="b">
        <v>0</v>
      </c>
      <c r="P573" s="23" t="b">
        <v>0</v>
      </c>
    </row>
    <row r="574" hidden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1"/>
      <c r="M574" s="22" t="b">
        <v>0</v>
      </c>
      <c r="O574" s="22" t="b">
        <v>0</v>
      </c>
      <c r="P574" s="23" t="b">
        <v>0</v>
      </c>
    </row>
    <row r="575" hidden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1"/>
      <c r="M575" s="22" t="b">
        <v>0</v>
      </c>
      <c r="O575" s="22" t="b">
        <v>0</v>
      </c>
      <c r="P575" s="23" t="b">
        <v>0</v>
      </c>
    </row>
    <row r="576" hidden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1"/>
      <c r="M576" s="22" t="b">
        <v>0</v>
      </c>
      <c r="O576" s="22" t="b">
        <v>0</v>
      </c>
      <c r="P576" s="23" t="b">
        <v>0</v>
      </c>
    </row>
    <row r="577" hidden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1"/>
      <c r="M577" s="22" t="b">
        <v>0</v>
      </c>
      <c r="O577" s="22" t="b">
        <v>0</v>
      </c>
      <c r="P577" s="23" t="b">
        <v>0</v>
      </c>
    </row>
    <row r="578" hidden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1"/>
      <c r="M578" s="22" t="b">
        <v>0</v>
      </c>
      <c r="O578" s="22" t="b">
        <v>0</v>
      </c>
      <c r="P578" s="23" t="b">
        <v>0</v>
      </c>
    </row>
    <row r="579" hidden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1"/>
      <c r="M579" s="22" t="b">
        <v>0</v>
      </c>
      <c r="O579" s="22" t="b">
        <v>0</v>
      </c>
      <c r="P579" s="23" t="b">
        <v>0</v>
      </c>
    </row>
    <row r="580" hidden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1"/>
      <c r="M580" s="22" t="b">
        <v>0</v>
      </c>
      <c r="O580" s="22" t="b">
        <v>0</v>
      </c>
      <c r="P580" s="23" t="b">
        <v>0</v>
      </c>
    </row>
    <row r="581" hidden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1"/>
      <c r="M581" s="22" t="b">
        <v>0</v>
      </c>
      <c r="O581" s="22" t="b">
        <v>0</v>
      </c>
      <c r="P581" s="23" t="b">
        <v>0</v>
      </c>
    </row>
    <row r="582" hidden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1"/>
      <c r="M582" s="22" t="b">
        <v>0</v>
      </c>
      <c r="O582" s="22" t="b">
        <v>0</v>
      </c>
      <c r="P582" s="23" t="b">
        <v>0</v>
      </c>
    </row>
    <row r="583" hidden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1"/>
      <c r="M583" s="22" t="b">
        <v>0</v>
      </c>
      <c r="O583" s="22" t="b">
        <v>0</v>
      </c>
      <c r="P583" s="23" t="b">
        <v>0</v>
      </c>
    </row>
    <row r="584" hidden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1"/>
      <c r="M584" s="22" t="b">
        <v>0</v>
      </c>
      <c r="O584" s="22" t="b">
        <v>0</v>
      </c>
      <c r="P584" s="23" t="b">
        <v>0</v>
      </c>
    </row>
    <row r="585" hidden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1"/>
      <c r="M585" s="22" t="b">
        <v>0</v>
      </c>
      <c r="O585" s="22" t="b">
        <v>0</v>
      </c>
      <c r="P585" s="23" t="b">
        <v>0</v>
      </c>
    </row>
    <row r="586" hidden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1"/>
      <c r="M586" s="22" t="b">
        <v>0</v>
      </c>
      <c r="O586" s="22" t="b">
        <v>0</v>
      </c>
      <c r="P586" s="23" t="b">
        <v>0</v>
      </c>
    </row>
    <row r="587" hidden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1"/>
      <c r="M587" s="22" t="b">
        <v>0</v>
      </c>
      <c r="O587" s="22" t="b">
        <v>0</v>
      </c>
      <c r="P587" s="23" t="b">
        <v>0</v>
      </c>
    </row>
    <row r="588" hidden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1"/>
      <c r="M588" s="22" t="b">
        <v>0</v>
      </c>
      <c r="O588" s="22" t="b">
        <v>0</v>
      </c>
      <c r="P588" s="23" t="b">
        <v>0</v>
      </c>
    </row>
    <row r="589" hidden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1"/>
      <c r="M589" s="22" t="b">
        <v>0</v>
      </c>
      <c r="O589" s="22" t="b">
        <v>0</v>
      </c>
      <c r="P589" s="23" t="b">
        <v>0</v>
      </c>
    </row>
    <row r="590" hidden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1"/>
      <c r="M590" s="22" t="b">
        <v>0</v>
      </c>
      <c r="O590" s="22" t="b">
        <v>0</v>
      </c>
      <c r="P590" s="23" t="b">
        <v>0</v>
      </c>
    </row>
    <row r="591" hidden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1"/>
      <c r="M591" s="22" t="b">
        <v>0</v>
      </c>
      <c r="O591" s="22" t="b">
        <v>0</v>
      </c>
      <c r="P591" s="23" t="b">
        <v>0</v>
      </c>
    </row>
    <row r="592" hidden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1"/>
      <c r="M592" s="22" t="b">
        <v>0</v>
      </c>
      <c r="O592" s="22" t="b">
        <v>0</v>
      </c>
      <c r="P592" s="23" t="b">
        <v>0</v>
      </c>
    </row>
    <row r="593" hidden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1"/>
      <c r="M593" s="22" t="b">
        <v>0</v>
      </c>
      <c r="O593" s="22" t="b">
        <v>0</v>
      </c>
      <c r="P593" s="23" t="b">
        <v>0</v>
      </c>
    </row>
    <row r="594" hidden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1"/>
      <c r="M594" s="22" t="b">
        <v>0</v>
      </c>
      <c r="O594" s="22" t="b">
        <v>0</v>
      </c>
      <c r="P594" s="23" t="b">
        <v>0</v>
      </c>
    </row>
    <row r="595" hidden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1"/>
      <c r="M595" s="22" t="b">
        <v>0</v>
      </c>
      <c r="O595" s="22" t="b">
        <v>0</v>
      </c>
      <c r="P595" s="23" t="b">
        <v>0</v>
      </c>
    </row>
    <row r="596" hidden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1"/>
      <c r="M596" s="22" t="b">
        <v>0</v>
      </c>
      <c r="O596" s="22" t="b">
        <v>0</v>
      </c>
      <c r="P596" s="23" t="b">
        <v>0</v>
      </c>
    </row>
    <row r="597" hidden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1"/>
      <c r="M597" s="22" t="b">
        <v>0</v>
      </c>
      <c r="O597" s="22" t="b">
        <v>0</v>
      </c>
      <c r="P597" s="23" t="b">
        <v>0</v>
      </c>
    </row>
    <row r="598" hidden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1"/>
      <c r="M598" s="22" t="b">
        <v>0</v>
      </c>
      <c r="O598" s="22" t="b">
        <v>0</v>
      </c>
      <c r="P598" s="23" t="b">
        <v>0</v>
      </c>
    </row>
    <row r="599" hidden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1"/>
      <c r="M599" s="22" t="b">
        <v>0</v>
      </c>
      <c r="O599" s="22" t="b">
        <v>0</v>
      </c>
      <c r="P599" s="23" t="b">
        <v>0</v>
      </c>
    </row>
    <row r="600" hidden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1"/>
      <c r="M600" s="22" t="b">
        <v>0</v>
      </c>
      <c r="O600" s="22" t="b">
        <v>0</v>
      </c>
      <c r="P600" s="23" t="b">
        <v>0</v>
      </c>
    </row>
    <row r="601" hidden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1"/>
      <c r="M601" s="22" t="b">
        <v>0</v>
      </c>
      <c r="O601" s="22" t="b">
        <v>0</v>
      </c>
      <c r="P601" s="23" t="b">
        <v>0</v>
      </c>
    </row>
    <row r="602" hidden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1"/>
      <c r="M602" s="22" t="b">
        <v>0</v>
      </c>
      <c r="O602" s="22" t="b">
        <v>0</v>
      </c>
      <c r="P602" s="23" t="b">
        <v>0</v>
      </c>
    </row>
    <row r="603" hidden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1"/>
      <c r="M603" s="22" t="b">
        <v>0</v>
      </c>
      <c r="O603" s="22" t="b">
        <v>0</v>
      </c>
      <c r="P603" s="23" t="b">
        <v>0</v>
      </c>
    </row>
    <row r="604" hidden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1"/>
      <c r="M604" s="22" t="b">
        <v>0</v>
      </c>
      <c r="O604" s="22" t="b">
        <v>0</v>
      </c>
      <c r="P604" s="23" t="b">
        <v>0</v>
      </c>
    </row>
    <row r="605" hidden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1"/>
      <c r="M605" s="22" t="b">
        <v>0</v>
      </c>
      <c r="O605" s="22" t="b">
        <v>0</v>
      </c>
      <c r="P605" s="23" t="b">
        <v>0</v>
      </c>
    </row>
    <row r="606" hidden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1"/>
      <c r="M606" s="22" t="b">
        <v>0</v>
      </c>
      <c r="O606" s="22" t="b">
        <v>0</v>
      </c>
      <c r="P606" s="23" t="b">
        <v>0</v>
      </c>
    </row>
    <row r="607" hidden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1"/>
      <c r="M607" s="22" t="b">
        <v>0</v>
      </c>
      <c r="O607" s="22" t="b">
        <v>0</v>
      </c>
      <c r="P607" s="23" t="b">
        <v>0</v>
      </c>
    </row>
    <row r="608" hidden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1"/>
      <c r="M608" s="22" t="b">
        <v>0</v>
      </c>
      <c r="O608" s="22" t="b">
        <v>0</v>
      </c>
      <c r="P608" s="23" t="b">
        <v>0</v>
      </c>
    </row>
    <row r="609" hidden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1"/>
      <c r="M609" s="22" t="b">
        <v>0</v>
      </c>
      <c r="O609" s="22" t="b">
        <v>0</v>
      </c>
      <c r="P609" s="23" t="b">
        <v>0</v>
      </c>
    </row>
    <row r="610" hidden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1"/>
      <c r="M610" s="22" t="b">
        <v>0</v>
      </c>
      <c r="O610" s="22" t="b">
        <v>0</v>
      </c>
      <c r="P610" s="23" t="b">
        <v>0</v>
      </c>
    </row>
    <row r="611" hidden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1"/>
      <c r="M611" s="22" t="b">
        <v>0</v>
      </c>
      <c r="O611" s="22" t="b">
        <v>0</v>
      </c>
      <c r="P611" s="23" t="b">
        <v>0</v>
      </c>
    </row>
    <row r="612" hidden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1"/>
      <c r="M612" s="22" t="b">
        <v>0</v>
      </c>
      <c r="O612" s="22" t="b">
        <v>0</v>
      </c>
      <c r="P612" s="23" t="b">
        <v>0</v>
      </c>
    </row>
    <row r="613" hidden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1"/>
      <c r="M613" s="22" t="b">
        <v>0</v>
      </c>
      <c r="O613" s="22" t="b">
        <v>0</v>
      </c>
      <c r="P613" s="23" t="b">
        <v>0</v>
      </c>
    </row>
    <row r="614" hidden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1"/>
      <c r="M614" s="22" t="b">
        <v>0</v>
      </c>
      <c r="O614" s="22" t="b">
        <v>0</v>
      </c>
      <c r="P614" s="23" t="b">
        <v>0</v>
      </c>
    </row>
    <row r="615" hidden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1"/>
      <c r="M615" s="22" t="b">
        <v>0</v>
      </c>
      <c r="O615" s="22" t="b">
        <v>0</v>
      </c>
      <c r="P615" s="23" t="b">
        <v>0</v>
      </c>
    </row>
    <row r="616" hidden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1"/>
      <c r="M616" s="22" t="b">
        <v>0</v>
      </c>
      <c r="O616" s="22" t="b">
        <v>0</v>
      </c>
      <c r="P616" s="23" t="b">
        <v>0</v>
      </c>
    </row>
    <row r="617" hidden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1"/>
      <c r="M617" s="22" t="b">
        <v>0</v>
      </c>
      <c r="O617" s="22" t="b">
        <v>0</v>
      </c>
      <c r="P617" s="23" t="b">
        <v>0</v>
      </c>
    </row>
    <row r="618" hidden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1"/>
      <c r="M618" s="22" t="b">
        <v>0</v>
      </c>
      <c r="O618" s="22" t="b">
        <v>0</v>
      </c>
      <c r="P618" s="23" t="b">
        <v>0</v>
      </c>
    </row>
    <row r="619" hidden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1"/>
      <c r="M619" s="22" t="b">
        <v>0</v>
      </c>
      <c r="O619" s="22" t="b">
        <v>0</v>
      </c>
      <c r="P619" s="23" t="b">
        <v>0</v>
      </c>
    </row>
    <row r="620" hidden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1"/>
      <c r="M620" s="22" t="b">
        <v>0</v>
      </c>
      <c r="O620" s="22" t="b">
        <v>0</v>
      </c>
      <c r="P620" s="23" t="b">
        <v>0</v>
      </c>
    </row>
    <row r="621" hidden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1"/>
      <c r="M621" s="22" t="b">
        <v>0</v>
      </c>
      <c r="O621" s="22" t="b">
        <v>0</v>
      </c>
      <c r="P621" s="23" t="b">
        <v>0</v>
      </c>
    </row>
    <row r="622" hidden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1"/>
      <c r="M622" s="22" t="b">
        <v>0</v>
      </c>
      <c r="O622" s="22" t="b">
        <v>0</v>
      </c>
      <c r="P622" s="23" t="b">
        <v>0</v>
      </c>
    </row>
    <row r="623" hidden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1"/>
      <c r="M623" s="22" t="b">
        <v>0</v>
      </c>
      <c r="O623" s="22" t="b">
        <v>0</v>
      </c>
      <c r="P623" s="23" t="b">
        <v>0</v>
      </c>
    </row>
    <row r="624" hidden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1"/>
      <c r="M624" s="22" t="b">
        <v>0</v>
      </c>
      <c r="O624" s="22" t="b">
        <v>0</v>
      </c>
      <c r="P624" s="23" t="b">
        <v>0</v>
      </c>
    </row>
    <row r="625" hidden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1"/>
      <c r="M625" s="22" t="b">
        <v>0</v>
      </c>
      <c r="O625" s="22" t="b">
        <v>0</v>
      </c>
      <c r="P625" s="23" t="b">
        <v>0</v>
      </c>
    </row>
    <row r="626" hidden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1"/>
      <c r="M626" s="22" t="b">
        <v>0</v>
      </c>
      <c r="O626" s="22" t="b">
        <v>0</v>
      </c>
      <c r="P626" s="23" t="b">
        <v>0</v>
      </c>
    </row>
    <row r="627" hidden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1"/>
      <c r="M627" s="22" t="b">
        <v>0</v>
      </c>
      <c r="O627" s="22" t="b">
        <v>0</v>
      </c>
      <c r="P627" s="23" t="b">
        <v>0</v>
      </c>
    </row>
    <row r="628" hidden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1"/>
      <c r="M628" s="22" t="b">
        <v>0</v>
      </c>
      <c r="O628" s="22" t="b">
        <v>0</v>
      </c>
      <c r="P628" s="23" t="b">
        <v>0</v>
      </c>
    </row>
    <row r="629" hidden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1"/>
      <c r="M629" s="22" t="b">
        <v>0</v>
      </c>
      <c r="O629" s="22" t="b">
        <v>0</v>
      </c>
      <c r="P629" s="23" t="b">
        <v>0</v>
      </c>
    </row>
    <row r="630" hidden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1"/>
      <c r="M630" s="22" t="b">
        <v>0</v>
      </c>
      <c r="O630" s="22" t="b">
        <v>0</v>
      </c>
      <c r="P630" s="23" t="b">
        <v>0</v>
      </c>
    </row>
    <row r="631" hidden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1"/>
      <c r="M631" s="22" t="b">
        <v>0</v>
      </c>
      <c r="O631" s="22" t="b">
        <v>0</v>
      </c>
      <c r="P631" s="23" t="b">
        <v>0</v>
      </c>
    </row>
    <row r="632" hidden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1"/>
      <c r="M632" s="22" t="b">
        <v>0</v>
      </c>
      <c r="O632" s="22" t="b">
        <v>0</v>
      </c>
      <c r="P632" s="23" t="b">
        <v>0</v>
      </c>
    </row>
    <row r="633" hidden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1"/>
      <c r="M633" s="22" t="b">
        <v>0</v>
      </c>
      <c r="O633" s="22" t="b">
        <v>0</v>
      </c>
      <c r="P633" s="23" t="b">
        <v>0</v>
      </c>
    </row>
    <row r="634" hidden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1"/>
      <c r="M634" s="22" t="b">
        <v>0</v>
      </c>
      <c r="O634" s="22" t="b">
        <v>0</v>
      </c>
      <c r="P634" s="23" t="b">
        <v>0</v>
      </c>
    </row>
    <row r="635" hidden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1"/>
      <c r="M635" s="22" t="b">
        <v>0</v>
      </c>
      <c r="O635" s="22" t="b">
        <v>0</v>
      </c>
      <c r="P635" s="23" t="b">
        <v>0</v>
      </c>
    </row>
    <row r="636" hidden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1"/>
      <c r="M636" s="22" t="b">
        <v>0</v>
      </c>
      <c r="O636" s="22" t="b">
        <v>0</v>
      </c>
      <c r="P636" s="23" t="b">
        <v>0</v>
      </c>
    </row>
    <row r="637" hidden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1"/>
      <c r="M637" s="22" t="b">
        <v>0</v>
      </c>
      <c r="O637" s="22" t="b">
        <v>0</v>
      </c>
      <c r="P637" s="23" t="b">
        <v>0</v>
      </c>
    </row>
    <row r="638" hidden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1"/>
      <c r="M638" s="22" t="b">
        <v>0</v>
      </c>
      <c r="O638" s="22" t="b">
        <v>0</v>
      </c>
      <c r="P638" s="23" t="b">
        <v>0</v>
      </c>
    </row>
    <row r="639" hidden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1"/>
      <c r="M639" s="22" t="b">
        <v>0</v>
      </c>
      <c r="O639" s="22" t="b">
        <v>0</v>
      </c>
      <c r="P639" s="23" t="b">
        <v>0</v>
      </c>
    </row>
    <row r="640" hidden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1"/>
      <c r="M640" s="22" t="b">
        <v>0</v>
      </c>
      <c r="O640" s="22" t="b">
        <v>0</v>
      </c>
      <c r="P640" s="23" t="b">
        <v>0</v>
      </c>
    </row>
    <row r="641" hidden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1"/>
      <c r="M641" s="22" t="b">
        <v>0</v>
      </c>
      <c r="O641" s="22" t="b">
        <v>0</v>
      </c>
      <c r="P641" s="23" t="b">
        <v>0</v>
      </c>
    </row>
    <row r="642" hidden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1"/>
      <c r="M642" s="22" t="b">
        <v>0</v>
      </c>
      <c r="O642" s="22" t="b">
        <v>0</v>
      </c>
      <c r="P642" s="23" t="b">
        <v>0</v>
      </c>
    </row>
    <row r="643" hidden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1"/>
      <c r="M643" s="22" t="b">
        <v>0</v>
      </c>
      <c r="O643" s="22" t="b">
        <v>0</v>
      </c>
      <c r="P643" s="23" t="b">
        <v>0</v>
      </c>
    </row>
    <row r="644" hidden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1"/>
      <c r="M644" s="22" t="b">
        <v>0</v>
      </c>
      <c r="O644" s="22" t="b">
        <v>0</v>
      </c>
      <c r="P644" s="23" t="b">
        <v>0</v>
      </c>
    </row>
    <row r="645" hidden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1"/>
      <c r="M645" s="22" t="b">
        <v>0</v>
      </c>
      <c r="O645" s="22" t="b">
        <v>0</v>
      </c>
      <c r="P645" s="23" t="b">
        <v>0</v>
      </c>
    </row>
    <row r="646" hidden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1"/>
      <c r="M646" s="22" t="b">
        <v>0</v>
      </c>
      <c r="O646" s="22" t="b">
        <v>0</v>
      </c>
      <c r="P646" s="23" t="b">
        <v>0</v>
      </c>
    </row>
    <row r="647" hidden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1"/>
      <c r="M647" s="22" t="b">
        <v>0</v>
      </c>
      <c r="O647" s="22" t="b">
        <v>0</v>
      </c>
      <c r="P647" s="23" t="b">
        <v>0</v>
      </c>
    </row>
    <row r="648" hidden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1"/>
      <c r="M648" s="22" t="b">
        <v>0</v>
      </c>
      <c r="O648" s="22" t="b">
        <v>0</v>
      </c>
      <c r="P648" s="23" t="b">
        <v>0</v>
      </c>
    </row>
    <row r="649" hidden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1"/>
      <c r="M649" s="22" t="b">
        <v>0</v>
      </c>
      <c r="O649" s="22" t="b">
        <v>0</v>
      </c>
      <c r="P649" s="23" t="b">
        <v>0</v>
      </c>
    </row>
    <row r="650" hidden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1"/>
      <c r="M650" s="22" t="b">
        <v>0</v>
      </c>
      <c r="O650" s="22" t="b">
        <v>0</v>
      </c>
      <c r="P650" s="23" t="b">
        <v>0</v>
      </c>
    </row>
    <row r="651" hidden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1"/>
      <c r="M651" s="22" t="b">
        <v>0</v>
      </c>
      <c r="O651" s="22" t="b">
        <v>0</v>
      </c>
      <c r="P651" s="23" t="b">
        <v>0</v>
      </c>
    </row>
    <row r="652" hidden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1"/>
      <c r="M652" s="22" t="b">
        <v>0</v>
      </c>
      <c r="O652" s="22" t="b">
        <v>0</v>
      </c>
      <c r="P652" s="23" t="b">
        <v>0</v>
      </c>
    </row>
    <row r="653" hidden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1"/>
      <c r="M653" s="22" t="b">
        <v>0</v>
      </c>
      <c r="O653" s="22" t="b">
        <v>0</v>
      </c>
      <c r="P653" s="23" t="b">
        <v>0</v>
      </c>
    </row>
    <row r="654" hidden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1"/>
      <c r="M654" s="22" t="b">
        <v>0</v>
      </c>
      <c r="O654" s="22" t="b">
        <v>0</v>
      </c>
      <c r="P654" s="23" t="b">
        <v>0</v>
      </c>
    </row>
    <row r="655" hidden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1"/>
      <c r="M655" s="22" t="b">
        <v>0</v>
      </c>
      <c r="O655" s="22" t="b">
        <v>0</v>
      </c>
      <c r="P655" s="23" t="b">
        <v>0</v>
      </c>
    </row>
    <row r="656" hidden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1"/>
      <c r="M656" s="22" t="b">
        <v>0</v>
      </c>
      <c r="O656" s="22" t="b">
        <v>0</v>
      </c>
      <c r="P656" s="23" t="b">
        <v>0</v>
      </c>
    </row>
    <row r="657" hidden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1"/>
      <c r="M657" s="22" t="b">
        <v>0</v>
      </c>
      <c r="O657" s="22" t="b">
        <v>0</v>
      </c>
      <c r="P657" s="23" t="b">
        <v>0</v>
      </c>
    </row>
    <row r="658" hidden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1"/>
      <c r="M658" s="22" t="b">
        <v>0</v>
      </c>
      <c r="O658" s="22" t="b">
        <v>0</v>
      </c>
      <c r="P658" s="23" t="b">
        <v>0</v>
      </c>
    </row>
    <row r="659" hidden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1"/>
      <c r="M659" s="22" t="b">
        <v>0</v>
      </c>
      <c r="O659" s="22" t="b">
        <v>0</v>
      </c>
      <c r="P659" s="23" t="b">
        <v>0</v>
      </c>
    </row>
    <row r="660" hidden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1"/>
      <c r="M660" s="22" t="b">
        <v>0</v>
      </c>
      <c r="O660" s="22" t="b">
        <v>0</v>
      </c>
      <c r="P660" s="23" t="b">
        <v>0</v>
      </c>
    </row>
    <row r="661" hidden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1"/>
      <c r="M661" s="22" t="b">
        <v>0</v>
      </c>
      <c r="O661" s="22" t="b">
        <v>0</v>
      </c>
      <c r="P661" s="23" t="b">
        <v>0</v>
      </c>
    </row>
    <row r="662" hidden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1"/>
      <c r="M662" s="22" t="b">
        <v>0</v>
      </c>
      <c r="O662" s="22" t="b">
        <v>0</v>
      </c>
      <c r="P662" s="23" t="b">
        <v>0</v>
      </c>
    </row>
    <row r="663" hidden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1"/>
      <c r="M663" s="22" t="b">
        <v>0</v>
      </c>
      <c r="O663" s="22" t="b">
        <v>0</v>
      </c>
      <c r="P663" s="23" t="b">
        <v>0</v>
      </c>
    </row>
    <row r="664" hidden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1"/>
      <c r="M664" s="22" t="b">
        <v>0</v>
      </c>
      <c r="O664" s="22" t="b">
        <v>0</v>
      </c>
      <c r="P664" s="23" t="b">
        <v>0</v>
      </c>
    </row>
    <row r="665" hidden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1"/>
      <c r="M665" s="22" t="b">
        <v>0</v>
      </c>
      <c r="O665" s="22" t="b">
        <v>0</v>
      </c>
      <c r="P665" s="23" t="b">
        <v>0</v>
      </c>
    </row>
    <row r="666" hidden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1"/>
      <c r="M666" s="22" t="b">
        <v>0</v>
      </c>
      <c r="O666" s="22" t="b">
        <v>0</v>
      </c>
      <c r="P666" s="23" t="b">
        <v>0</v>
      </c>
    </row>
    <row r="667" hidden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1"/>
      <c r="M667" s="22" t="b">
        <v>0</v>
      </c>
      <c r="O667" s="22" t="b">
        <v>0</v>
      </c>
      <c r="P667" s="23" t="b">
        <v>0</v>
      </c>
    </row>
    <row r="668" hidden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1"/>
      <c r="M668" s="22" t="b">
        <v>0</v>
      </c>
      <c r="O668" s="22" t="b">
        <v>0</v>
      </c>
      <c r="P668" s="23" t="b">
        <v>0</v>
      </c>
    </row>
    <row r="669" hidden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1"/>
      <c r="M669" s="22" t="b">
        <v>0</v>
      </c>
      <c r="O669" s="22" t="b">
        <v>0</v>
      </c>
      <c r="P669" s="23" t="b">
        <v>0</v>
      </c>
    </row>
    <row r="670" hidden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1"/>
      <c r="M670" s="22" t="b">
        <v>0</v>
      </c>
      <c r="O670" s="22" t="b">
        <v>0</v>
      </c>
      <c r="P670" s="23" t="b">
        <v>0</v>
      </c>
    </row>
    <row r="671" hidden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1"/>
      <c r="M671" s="22" t="b">
        <v>0</v>
      </c>
      <c r="O671" s="22" t="b">
        <v>0</v>
      </c>
      <c r="P671" s="23" t="b">
        <v>0</v>
      </c>
    </row>
    <row r="672" hidden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1"/>
      <c r="M672" s="22" t="b">
        <v>0</v>
      </c>
      <c r="O672" s="22" t="b">
        <v>0</v>
      </c>
      <c r="P672" s="23" t="b">
        <v>0</v>
      </c>
    </row>
    <row r="673" hidden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1"/>
      <c r="M673" s="22" t="b">
        <v>0</v>
      </c>
      <c r="O673" s="22" t="b">
        <v>0</v>
      </c>
      <c r="P673" s="23" t="b">
        <v>0</v>
      </c>
    </row>
    <row r="674" hidden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1"/>
      <c r="M674" s="22" t="b">
        <v>0</v>
      </c>
      <c r="O674" s="22" t="b">
        <v>0</v>
      </c>
      <c r="P674" s="23" t="b">
        <v>0</v>
      </c>
    </row>
    <row r="675" hidden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1"/>
      <c r="M675" s="22" t="b">
        <v>0</v>
      </c>
      <c r="O675" s="22" t="b">
        <v>0</v>
      </c>
      <c r="P675" s="23" t="b">
        <v>0</v>
      </c>
    </row>
    <row r="676" hidden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1"/>
      <c r="M676" s="22" t="b">
        <v>0</v>
      </c>
      <c r="O676" s="22" t="b">
        <v>0</v>
      </c>
      <c r="P676" s="23" t="b">
        <v>0</v>
      </c>
    </row>
    <row r="677" hidden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1"/>
      <c r="M677" s="22" t="b">
        <v>0</v>
      </c>
      <c r="O677" s="22" t="b">
        <v>0</v>
      </c>
      <c r="P677" s="23" t="b">
        <v>0</v>
      </c>
    </row>
    <row r="678" hidden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1"/>
      <c r="M678" s="22" t="b">
        <v>0</v>
      </c>
      <c r="O678" s="22" t="b">
        <v>0</v>
      </c>
      <c r="P678" s="23" t="b">
        <v>0</v>
      </c>
    </row>
    <row r="679" hidden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1"/>
      <c r="M679" s="22" t="b">
        <v>0</v>
      </c>
      <c r="O679" s="22" t="b">
        <v>0</v>
      </c>
      <c r="P679" s="23" t="b">
        <v>0</v>
      </c>
    </row>
    <row r="680" hidden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1"/>
      <c r="M680" s="22" t="b">
        <v>0</v>
      </c>
      <c r="O680" s="22" t="b">
        <v>0</v>
      </c>
      <c r="P680" s="23" t="b">
        <v>0</v>
      </c>
    </row>
    <row r="681" hidden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1"/>
      <c r="M681" s="22" t="b">
        <v>0</v>
      </c>
      <c r="O681" s="22" t="b">
        <v>0</v>
      </c>
      <c r="P681" s="23" t="b">
        <v>0</v>
      </c>
    </row>
    <row r="682" hidden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1"/>
      <c r="M682" s="22" t="b">
        <v>0</v>
      </c>
      <c r="O682" s="22" t="b">
        <v>0</v>
      </c>
      <c r="P682" s="23" t="b">
        <v>0</v>
      </c>
    </row>
    <row r="683" hidden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1"/>
      <c r="M683" s="22" t="b">
        <v>0</v>
      </c>
      <c r="O683" s="22" t="b">
        <v>0</v>
      </c>
      <c r="P683" s="23" t="b">
        <v>0</v>
      </c>
    </row>
    <row r="684" hidden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1"/>
      <c r="M684" s="22" t="b">
        <v>0</v>
      </c>
      <c r="O684" s="22" t="b">
        <v>0</v>
      </c>
      <c r="P684" s="23" t="b">
        <v>0</v>
      </c>
    </row>
    <row r="685" hidden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1"/>
      <c r="M685" s="22" t="b">
        <v>0</v>
      </c>
      <c r="O685" s="22" t="b">
        <v>0</v>
      </c>
      <c r="P685" s="23" t="b">
        <v>0</v>
      </c>
    </row>
    <row r="686" hidden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1"/>
      <c r="M686" s="22" t="b">
        <v>0</v>
      </c>
      <c r="O686" s="22" t="b">
        <v>0</v>
      </c>
      <c r="P686" s="23" t="b">
        <v>0</v>
      </c>
    </row>
    <row r="687" hidden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1"/>
      <c r="M687" s="22" t="b">
        <v>0</v>
      </c>
      <c r="O687" s="22" t="b">
        <v>0</v>
      </c>
      <c r="P687" s="23" t="b">
        <v>0</v>
      </c>
    </row>
    <row r="688" hidden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1"/>
      <c r="M688" s="22" t="b">
        <v>0</v>
      </c>
      <c r="O688" s="22" t="b">
        <v>0</v>
      </c>
      <c r="P688" s="23" t="b">
        <v>0</v>
      </c>
    </row>
    <row r="689" hidden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1"/>
      <c r="M689" s="22" t="b">
        <v>0</v>
      </c>
      <c r="O689" s="22" t="b">
        <v>0</v>
      </c>
      <c r="P689" s="23" t="b">
        <v>0</v>
      </c>
    </row>
    <row r="690" hidden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1"/>
      <c r="M690" s="22" t="b">
        <v>0</v>
      </c>
      <c r="O690" s="22" t="b">
        <v>0</v>
      </c>
      <c r="P690" s="23" t="b">
        <v>0</v>
      </c>
    </row>
    <row r="691" hidden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1"/>
      <c r="M691" s="22" t="b">
        <v>0</v>
      </c>
      <c r="O691" s="22" t="b">
        <v>0</v>
      </c>
      <c r="P691" s="23" t="b">
        <v>0</v>
      </c>
    </row>
    <row r="692" hidden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1"/>
      <c r="M692" s="22" t="b">
        <v>0</v>
      </c>
      <c r="O692" s="22" t="b">
        <v>0</v>
      </c>
      <c r="P692" s="23" t="b">
        <v>0</v>
      </c>
    </row>
    <row r="693" hidden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1"/>
      <c r="M693" s="22" t="b">
        <v>0</v>
      </c>
      <c r="O693" s="22" t="b">
        <v>0</v>
      </c>
      <c r="P693" s="23" t="b">
        <v>0</v>
      </c>
    </row>
    <row r="694" hidden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1"/>
      <c r="M694" s="22" t="b">
        <v>0</v>
      </c>
      <c r="O694" s="22" t="b">
        <v>0</v>
      </c>
      <c r="P694" s="23" t="b">
        <v>0</v>
      </c>
    </row>
    <row r="695" hidden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1"/>
      <c r="M695" s="22" t="b">
        <v>0</v>
      </c>
      <c r="O695" s="22" t="b">
        <v>0</v>
      </c>
      <c r="P695" s="23" t="b">
        <v>0</v>
      </c>
    </row>
    <row r="696" hidden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1"/>
      <c r="M696" s="22" t="b">
        <v>0</v>
      </c>
      <c r="O696" s="22" t="b">
        <v>0</v>
      </c>
      <c r="P696" s="23" t="b">
        <v>0</v>
      </c>
    </row>
    <row r="697" hidden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1"/>
      <c r="M697" s="22" t="b">
        <v>0</v>
      </c>
      <c r="O697" s="22" t="b">
        <v>0</v>
      </c>
      <c r="P697" s="23" t="b">
        <v>0</v>
      </c>
    </row>
    <row r="698" hidden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1"/>
      <c r="M698" s="22" t="b">
        <v>0</v>
      </c>
      <c r="O698" s="22" t="b">
        <v>0</v>
      </c>
      <c r="P698" s="23" t="b">
        <v>0</v>
      </c>
    </row>
    <row r="699" hidden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1"/>
      <c r="M699" s="22" t="b">
        <v>0</v>
      </c>
      <c r="O699" s="22" t="b">
        <v>0</v>
      </c>
      <c r="P699" s="23" t="b">
        <v>0</v>
      </c>
    </row>
    <row r="700" hidden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1"/>
      <c r="M700" s="22" t="b">
        <v>0</v>
      </c>
      <c r="O700" s="22" t="b">
        <v>0</v>
      </c>
      <c r="P700" s="23" t="b">
        <v>0</v>
      </c>
    </row>
    <row r="701" hidden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1"/>
      <c r="M701" s="22" t="b">
        <v>0</v>
      </c>
      <c r="O701" s="22" t="b">
        <v>0</v>
      </c>
      <c r="P701" s="23" t="b">
        <v>0</v>
      </c>
    </row>
    <row r="702" hidden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1"/>
      <c r="M702" s="22" t="b">
        <v>0</v>
      </c>
      <c r="O702" s="22" t="b">
        <v>0</v>
      </c>
      <c r="P702" s="23" t="b">
        <v>0</v>
      </c>
    </row>
    <row r="703" hidden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1"/>
      <c r="M703" s="22" t="b">
        <v>0</v>
      </c>
      <c r="O703" s="22" t="b">
        <v>0</v>
      </c>
      <c r="P703" s="23" t="b">
        <v>0</v>
      </c>
    </row>
    <row r="704" hidden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1"/>
      <c r="M704" s="22" t="b">
        <v>0</v>
      </c>
      <c r="O704" s="22" t="b">
        <v>0</v>
      </c>
      <c r="P704" s="23" t="b">
        <v>0</v>
      </c>
    </row>
    <row r="705" hidden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1"/>
      <c r="M705" s="22" t="b">
        <v>0</v>
      </c>
      <c r="O705" s="22" t="b">
        <v>0</v>
      </c>
      <c r="P705" s="23" t="b">
        <v>0</v>
      </c>
    </row>
    <row r="706" hidden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1"/>
      <c r="M706" s="22" t="b">
        <v>0</v>
      </c>
      <c r="O706" s="22" t="b">
        <v>0</v>
      </c>
      <c r="P706" s="23" t="b">
        <v>0</v>
      </c>
    </row>
    <row r="707" hidden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1"/>
      <c r="M707" s="22" t="b">
        <v>0</v>
      </c>
      <c r="O707" s="22" t="b">
        <v>0</v>
      </c>
      <c r="P707" s="23" t="b">
        <v>0</v>
      </c>
    </row>
    <row r="708" hidden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1"/>
      <c r="M708" s="22" t="b">
        <v>0</v>
      </c>
      <c r="O708" s="22" t="b">
        <v>0</v>
      </c>
      <c r="P708" s="23" t="b">
        <v>0</v>
      </c>
    </row>
    <row r="709" hidden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1"/>
      <c r="M709" s="22" t="b">
        <v>0</v>
      </c>
      <c r="O709" s="22" t="b">
        <v>0</v>
      </c>
      <c r="P709" s="23" t="b">
        <v>0</v>
      </c>
    </row>
    <row r="710" hidden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1"/>
      <c r="M710" s="22" t="b">
        <v>0</v>
      </c>
      <c r="O710" s="22" t="b">
        <v>0</v>
      </c>
      <c r="P710" s="23" t="b">
        <v>0</v>
      </c>
    </row>
    <row r="711" hidden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1"/>
      <c r="M711" s="22" t="b">
        <v>0</v>
      </c>
      <c r="O711" s="22" t="b">
        <v>0</v>
      </c>
      <c r="P711" s="23" t="b">
        <v>0</v>
      </c>
    </row>
    <row r="712" hidden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1"/>
      <c r="M712" s="22" t="b">
        <v>0</v>
      </c>
      <c r="O712" s="22" t="b">
        <v>0</v>
      </c>
      <c r="P712" s="23" t="b">
        <v>0</v>
      </c>
    </row>
    <row r="713" hidden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1"/>
      <c r="M713" s="22" t="b">
        <v>0</v>
      </c>
      <c r="O713" s="22" t="b">
        <v>0</v>
      </c>
      <c r="P713" s="23" t="b">
        <v>0</v>
      </c>
    </row>
    <row r="714" hidden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1"/>
      <c r="M714" s="22" t="b">
        <v>0</v>
      </c>
      <c r="O714" s="22" t="b">
        <v>0</v>
      </c>
      <c r="P714" s="23" t="b">
        <v>0</v>
      </c>
    </row>
    <row r="715" hidden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1"/>
      <c r="M715" s="22" t="b">
        <v>0</v>
      </c>
      <c r="O715" s="22" t="b">
        <v>0</v>
      </c>
      <c r="P715" s="23" t="b">
        <v>0</v>
      </c>
    </row>
    <row r="716" hidden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1"/>
      <c r="M716" s="22" t="b">
        <v>0</v>
      </c>
      <c r="O716" s="22" t="b">
        <v>0</v>
      </c>
      <c r="P716" s="23" t="b">
        <v>0</v>
      </c>
    </row>
    <row r="717" hidden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1"/>
      <c r="M717" s="22" t="b">
        <v>0</v>
      </c>
      <c r="O717" s="22" t="b">
        <v>0</v>
      </c>
      <c r="P717" s="23" t="b">
        <v>0</v>
      </c>
    </row>
    <row r="718" hidden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1"/>
      <c r="M718" s="22" t="b">
        <v>0</v>
      </c>
      <c r="O718" s="22" t="b">
        <v>0</v>
      </c>
      <c r="P718" s="23" t="b">
        <v>0</v>
      </c>
    </row>
    <row r="719" hidden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1"/>
      <c r="M719" s="22" t="b">
        <v>0</v>
      </c>
      <c r="O719" s="22" t="b">
        <v>0</v>
      </c>
      <c r="P719" s="23" t="b">
        <v>0</v>
      </c>
    </row>
    <row r="720" hidden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1"/>
      <c r="M720" s="22" t="b">
        <v>0</v>
      </c>
      <c r="O720" s="22" t="b">
        <v>0</v>
      </c>
      <c r="P720" s="23" t="b">
        <v>0</v>
      </c>
    </row>
    <row r="721" hidden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1"/>
      <c r="M721" s="22" t="b">
        <v>0</v>
      </c>
      <c r="O721" s="22" t="b">
        <v>0</v>
      </c>
      <c r="P721" s="23" t="b">
        <v>0</v>
      </c>
    </row>
    <row r="722" hidden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1"/>
      <c r="M722" s="22" t="b">
        <v>0</v>
      </c>
      <c r="O722" s="22" t="b">
        <v>0</v>
      </c>
      <c r="P722" s="23" t="b">
        <v>0</v>
      </c>
    </row>
    <row r="723" hidden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1"/>
      <c r="M723" s="22" t="b">
        <v>0</v>
      </c>
      <c r="O723" s="22" t="b">
        <v>0</v>
      </c>
      <c r="P723" s="23" t="b">
        <v>0</v>
      </c>
    </row>
    <row r="724" hidden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1"/>
      <c r="M724" s="22" t="b">
        <v>0</v>
      </c>
      <c r="O724" s="22" t="b">
        <v>0</v>
      </c>
      <c r="P724" s="23" t="b">
        <v>0</v>
      </c>
    </row>
    <row r="725" hidden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1"/>
      <c r="M725" s="22" t="b">
        <v>0</v>
      </c>
      <c r="O725" s="22" t="b">
        <v>0</v>
      </c>
      <c r="P725" s="23" t="b">
        <v>0</v>
      </c>
    </row>
    <row r="726" hidden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1"/>
      <c r="M726" s="22" t="b">
        <v>0</v>
      </c>
      <c r="O726" s="22" t="b">
        <v>0</v>
      </c>
      <c r="P726" s="23" t="b">
        <v>0</v>
      </c>
    </row>
    <row r="727" hidden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1"/>
      <c r="M727" s="22" t="b">
        <v>0</v>
      </c>
      <c r="O727" s="22" t="b">
        <v>0</v>
      </c>
      <c r="P727" s="23" t="b">
        <v>0</v>
      </c>
    </row>
    <row r="728" hidden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1"/>
      <c r="M728" s="22" t="b">
        <v>0</v>
      </c>
      <c r="O728" s="22" t="b">
        <v>0</v>
      </c>
      <c r="P728" s="23" t="b">
        <v>0</v>
      </c>
    </row>
    <row r="729" hidden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1"/>
      <c r="M729" s="22" t="b">
        <v>0</v>
      </c>
      <c r="O729" s="22" t="b">
        <v>0</v>
      </c>
      <c r="P729" s="23" t="b">
        <v>0</v>
      </c>
    </row>
    <row r="730" hidden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1"/>
      <c r="M730" s="22" t="b">
        <v>0</v>
      </c>
      <c r="O730" s="22" t="b">
        <v>0</v>
      </c>
      <c r="P730" s="23" t="b">
        <v>0</v>
      </c>
    </row>
    <row r="731" hidden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1"/>
      <c r="M731" s="22" t="b">
        <v>0</v>
      </c>
      <c r="O731" s="22" t="b">
        <v>0</v>
      </c>
      <c r="P731" s="23" t="b">
        <v>0</v>
      </c>
    </row>
    <row r="732" hidden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1"/>
      <c r="M732" s="22" t="b">
        <v>0</v>
      </c>
      <c r="O732" s="22" t="b">
        <v>0</v>
      </c>
      <c r="P732" s="23" t="b">
        <v>0</v>
      </c>
    </row>
    <row r="733" hidden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1"/>
      <c r="M733" s="22" t="b">
        <v>0</v>
      </c>
      <c r="O733" s="22" t="b">
        <v>0</v>
      </c>
      <c r="P733" s="23" t="b">
        <v>0</v>
      </c>
    </row>
    <row r="734" hidden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1"/>
      <c r="M734" s="22" t="b">
        <v>0</v>
      </c>
      <c r="O734" s="22" t="b">
        <v>0</v>
      </c>
      <c r="P734" s="23" t="b">
        <v>0</v>
      </c>
    </row>
    <row r="735" hidden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1"/>
      <c r="M735" s="22" t="b">
        <v>0</v>
      </c>
      <c r="O735" s="22" t="b">
        <v>0</v>
      </c>
      <c r="P735" s="23" t="b">
        <v>0</v>
      </c>
    </row>
    <row r="736" hidden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1"/>
      <c r="M736" s="22" t="b">
        <v>0</v>
      </c>
      <c r="O736" s="22" t="b">
        <v>0</v>
      </c>
      <c r="P736" s="23" t="b">
        <v>0</v>
      </c>
    </row>
    <row r="737" hidden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1"/>
      <c r="M737" s="22" t="b">
        <v>0</v>
      </c>
      <c r="O737" s="22" t="b">
        <v>0</v>
      </c>
      <c r="P737" s="23" t="b">
        <v>0</v>
      </c>
    </row>
    <row r="738" hidden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1"/>
      <c r="M738" s="22" t="b">
        <v>0</v>
      </c>
      <c r="O738" s="22" t="b">
        <v>0</v>
      </c>
      <c r="P738" s="23" t="b">
        <v>0</v>
      </c>
    </row>
    <row r="739" hidden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1"/>
      <c r="M739" s="22" t="b">
        <v>0</v>
      </c>
      <c r="O739" s="22" t="b">
        <v>0</v>
      </c>
      <c r="P739" s="23" t="b">
        <v>0</v>
      </c>
    </row>
    <row r="740" hidden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1"/>
      <c r="M740" s="22" t="b">
        <v>0</v>
      </c>
      <c r="O740" s="22" t="b">
        <v>0</v>
      </c>
      <c r="P740" s="23" t="b">
        <v>0</v>
      </c>
    </row>
    <row r="741" hidden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1"/>
      <c r="M741" s="22" t="b">
        <v>0</v>
      </c>
      <c r="O741" s="22" t="b">
        <v>0</v>
      </c>
      <c r="P741" s="23" t="b">
        <v>0</v>
      </c>
    </row>
    <row r="742" hidden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1"/>
      <c r="M742" s="22" t="b">
        <v>0</v>
      </c>
      <c r="O742" s="22" t="b">
        <v>0</v>
      </c>
      <c r="P742" s="23" t="b">
        <v>0</v>
      </c>
    </row>
    <row r="743" hidden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1"/>
      <c r="M743" s="22" t="b">
        <v>0</v>
      </c>
      <c r="O743" s="22" t="b">
        <v>0</v>
      </c>
      <c r="P743" s="23" t="b">
        <v>0</v>
      </c>
    </row>
    <row r="744" hidden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1"/>
      <c r="M744" s="22" t="b">
        <v>0</v>
      </c>
      <c r="O744" s="22" t="b">
        <v>0</v>
      </c>
      <c r="P744" s="23" t="b">
        <v>0</v>
      </c>
    </row>
    <row r="745" hidden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1"/>
      <c r="M745" s="22" t="b">
        <v>0</v>
      </c>
      <c r="O745" s="22" t="b">
        <v>0</v>
      </c>
      <c r="P745" s="23" t="b">
        <v>0</v>
      </c>
    </row>
    <row r="746" hidden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1"/>
      <c r="M746" s="22" t="b">
        <v>0</v>
      </c>
      <c r="O746" s="22" t="b">
        <v>0</v>
      </c>
      <c r="P746" s="23" t="b">
        <v>0</v>
      </c>
    </row>
    <row r="747" hidden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1"/>
      <c r="M747" s="22" t="b">
        <v>0</v>
      </c>
      <c r="O747" s="22" t="b">
        <v>0</v>
      </c>
      <c r="P747" s="23" t="b">
        <v>0</v>
      </c>
    </row>
    <row r="748" hidden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1"/>
      <c r="M748" s="22" t="b">
        <v>0</v>
      </c>
      <c r="O748" s="22" t="b">
        <v>0</v>
      </c>
      <c r="P748" s="23" t="b">
        <v>0</v>
      </c>
    </row>
    <row r="749" hidden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1"/>
      <c r="M749" s="22" t="b">
        <v>0</v>
      </c>
      <c r="O749" s="22" t="b">
        <v>0</v>
      </c>
      <c r="P749" s="23" t="b">
        <v>0</v>
      </c>
    </row>
    <row r="750" hidden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1"/>
      <c r="M750" s="22" t="b">
        <v>0</v>
      </c>
      <c r="O750" s="22" t="b">
        <v>0</v>
      </c>
      <c r="P750" s="23" t="b">
        <v>0</v>
      </c>
    </row>
    <row r="751" hidden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1"/>
      <c r="M751" s="22" t="b">
        <v>0</v>
      </c>
      <c r="O751" s="22" t="b">
        <v>0</v>
      </c>
      <c r="P751" s="23" t="b">
        <v>0</v>
      </c>
    </row>
    <row r="752" hidden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1"/>
      <c r="M752" s="22" t="b">
        <v>0</v>
      </c>
      <c r="O752" s="22" t="b">
        <v>0</v>
      </c>
      <c r="P752" s="23" t="b">
        <v>0</v>
      </c>
    </row>
    <row r="753" hidden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1"/>
      <c r="M753" s="22" t="b">
        <v>0</v>
      </c>
      <c r="O753" s="22" t="b">
        <v>0</v>
      </c>
      <c r="P753" s="23" t="b">
        <v>0</v>
      </c>
    </row>
    <row r="754" hidden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1"/>
      <c r="M754" s="22" t="b">
        <v>0</v>
      </c>
      <c r="O754" s="22" t="b">
        <v>0</v>
      </c>
      <c r="P754" s="23" t="b">
        <v>0</v>
      </c>
    </row>
    <row r="755" hidden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1"/>
      <c r="M755" s="22" t="b">
        <v>0</v>
      </c>
      <c r="O755" s="22" t="b">
        <v>0</v>
      </c>
      <c r="P755" s="23" t="b">
        <v>0</v>
      </c>
    </row>
    <row r="756" hidden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1"/>
      <c r="M756" s="22" t="b">
        <v>0</v>
      </c>
      <c r="O756" s="22" t="b">
        <v>0</v>
      </c>
      <c r="P756" s="23" t="b">
        <v>0</v>
      </c>
    </row>
    <row r="757" hidden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1"/>
      <c r="M757" s="22" t="b">
        <v>0</v>
      </c>
      <c r="O757" s="22" t="b">
        <v>0</v>
      </c>
      <c r="P757" s="23" t="b">
        <v>0</v>
      </c>
    </row>
    <row r="758" hidden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1"/>
      <c r="M758" s="22" t="b">
        <v>0</v>
      </c>
      <c r="O758" s="22" t="b">
        <v>0</v>
      </c>
      <c r="P758" s="23" t="b">
        <v>0</v>
      </c>
    </row>
    <row r="759" hidden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1"/>
      <c r="M759" s="22" t="b">
        <v>0</v>
      </c>
      <c r="O759" s="22" t="b">
        <v>0</v>
      </c>
      <c r="P759" s="23" t="b">
        <v>0</v>
      </c>
    </row>
    <row r="760" hidden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1"/>
      <c r="M760" s="22" t="b">
        <v>0</v>
      </c>
      <c r="O760" s="22" t="b">
        <v>0</v>
      </c>
      <c r="P760" s="23" t="b">
        <v>0</v>
      </c>
    </row>
    <row r="761" hidden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1"/>
      <c r="M761" s="22" t="b">
        <v>0</v>
      </c>
      <c r="O761" s="22" t="b">
        <v>0</v>
      </c>
      <c r="P761" s="23" t="b">
        <v>0</v>
      </c>
    </row>
    <row r="762" hidden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1"/>
      <c r="M762" s="22" t="b">
        <v>0</v>
      </c>
      <c r="O762" s="22" t="b">
        <v>0</v>
      </c>
      <c r="P762" s="23" t="b">
        <v>0</v>
      </c>
    </row>
    <row r="763" hidden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1"/>
      <c r="M763" s="22" t="b">
        <v>0</v>
      </c>
      <c r="O763" s="22" t="b">
        <v>0</v>
      </c>
      <c r="P763" s="23" t="b">
        <v>0</v>
      </c>
    </row>
    <row r="764" hidden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1"/>
      <c r="M764" s="22" t="b">
        <v>0</v>
      </c>
      <c r="O764" s="22" t="b">
        <v>0</v>
      </c>
      <c r="P764" s="23" t="b">
        <v>0</v>
      </c>
    </row>
    <row r="765" hidden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1"/>
      <c r="M765" s="22" t="b">
        <v>0</v>
      </c>
      <c r="O765" s="22" t="b">
        <v>0</v>
      </c>
      <c r="P765" s="23" t="b">
        <v>0</v>
      </c>
    </row>
    <row r="766" hidden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1"/>
      <c r="M766" s="22" t="b">
        <v>0</v>
      </c>
      <c r="O766" s="22" t="b">
        <v>0</v>
      </c>
      <c r="P766" s="23" t="b">
        <v>0</v>
      </c>
    </row>
    <row r="767" hidden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1"/>
      <c r="M767" s="22" t="b">
        <v>0</v>
      </c>
      <c r="O767" s="22" t="b">
        <v>0</v>
      </c>
      <c r="P767" s="23" t="b">
        <v>0</v>
      </c>
    </row>
    <row r="768" hidden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1"/>
      <c r="M768" s="22" t="b">
        <v>0</v>
      </c>
      <c r="O768" s="22" t="b">
        <v>0</v>
      </c>
      <c r="P768" s="23" t="b">
        <v>0</v>
      </c>
    </row>
    <row r="769" hidden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1"/>
      <c r="M769" s="22" t="b">
        <v>0</v>
      </c>
      <c r="O769" s="22" t="b">
        <v>0</v>
      </c>
      <c r="P769" s="23" t="b">
        <v>0</v>
      </c>
    </row>
    <row r="770" hidden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1"/>
      <c r="M770" s="22" t="b">
        <v>0</v>
      </c>
      <c r="O770" s="22" t="b">
        <v>0</v>
      </c>
      <c r="P770" s="23" t="b">
        <v>0</v>
      </c>
    </row>
    <row r="771" hidden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1"/>
      <c r="M771" s="22" t="b">
        <v>0</v>
      </c>
      <c r="O771" s="22" t="b">
        <v>0</v>
      </c>
      <c r="P771" s="23" t="b">
        <v>0</v>
      </c>
    </row>
    <row r="772" hidden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1"/>
      <c r="M772" s="22" t="b">
        <v>0</v>
      </c>
      <c r="O772" s="22" t="b">
        <v>0</v>
      </c>
      <c r="P772" s="23" t="b">
        <v>0</v>
      </c>
    </row>
    <row r="773" hidden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1"/>
      <c r="M773" s="22" t="b">
        <v>0</v>
      </c>
      <c r="O773" s="22" t="b">
        <v>0</v>
      </c>
      <c r="P773" s="23" t="b">
        <v>0</v>
      </c>
    </row>
    <row r="774" hidden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1"/>
      <c r="M774" s="22" t="b">
        <v>0</v>
      </c>
      <c r="O774" s="22" t="b">
        <v>0</v>
      </c>
      <c r="P774" s="23" t="b">
        <v>0</v>
      </c>
    </row>
    <row r="775" hidden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1"/>
      <c r="M775" s="22" t="b">
        <v>0</v>
      </c>
      <c r="O775" s="22" t="b">
        <v>0</v>
      </c>
      <c r="P775" s="23" t="b">
        <v>0</v>
      </c>
    </row>
    <row r="776" hidden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1"/>
      <c r="M776" s="22" t="b">
        <v>0</v>
      </c>
      <c r="O776" s="22" t="b">
        <v>0</v>
      </c>
      <c r="P776" s="23" t="b">
        <v>0</v>
      </c>
    </row>
    <row r="777" hidden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1"/>
      <c r="M777" s="22" t="b">
        <v>0</v>
      </c>
      <c r="O777" s="22" t="b">
        <v>0</v>
      </c>
      <c r="P777" s="23" t="b">
        <v>0</v>
      </c>
    </row>
    <row r="778" hidden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1"/>
      <c r="M778" s="22" t="b">
        <v>0</v>
      </c>
      <c r="O778" s="22" t="b">
        <v>0</v>
      </c>
      <c r="P778" s="23" t="b">
        <v>0</v>
      </c>
    </row>
    <row r="779" hidden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1"/>
      <c r="M779" s="22" t="b">
        <v>0</v>
      </c>
      <c r="O779" s="22" t="b">
        <v>0</v>
      </c>
      <c r="P779" s="23" t="b">
        <v>0</v>
      </c>
    </row>
    <row r="780" hidden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1"/>
      <c r="M780" s="22" t="b">
        <v>0</v>
      </c>
      <c r="O780" s="22" t="b">
        <v>0</v>
      </c>
      <c r="P780" s="23" t="b">
        <v>0</v>
      </c>
    </row>
    <row r="781" hidden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1"/>
      <c r="M781" s="22" t="b">
        <v>0</v>
      </c>
      <c r="O781" s="22" t="b">
        <v>0</v>
      </c>
      <c r="P781" s="23" t="b">
        <v>0</v>
      </c>
    </row>
    <row r="782" hidden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1"/>
      <c r="M782" s="22" t="b">
        <v>0</v>
      </c>
      <c r="O782" s="22" t="b">
        <v>0</v>
      </c>
      <c r="P782" s="23" t="b">
        <v>0</v>
      </c>
    </row>
    <row r="783" hidden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1"/>
      <c r="M783" s="22" t="b">
        <v>0</v>
      </c>
      <c r="O783" s="22" t="b">
        <v>0</v>
      </c>
      <c r="P783" s="23" t="b">
        <v>0</v>
      </c>
    </row>
    <row r="784" hidden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1"/>
      <c r="M784" s="22" t="b">
        <v>0</v>
      </c>
      <c r="O784" s="22" t="b">
        <v>0</v>
      </c>
      <c r="P784" s="23" t="b">
        <v>0</v>
      </c>
    </row>
    <row r="785" hidden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1"/>
      <c r="M785" s="22" t="b">
        <v>0</v>
      </c>
      <c r="O785" s="22" t="b">
        <v>0</v>
      </c>
      <c r="P785" s="23" t="b">
        <v>0</v>
      </c>
    </row>
    <row r="786" hidden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1"/>
      <c r="M786" s="22" t="b">
        <v>0</v>
      </c>
      <c r="O786" s="22" t="b">
        <v>0</v>
      </c>
      <c r="P786" s="23" t="b">
        <v>0</v>
      </c>
    </row>
    <row r="787" hidden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1"/>
      <c r="M787" s="22" t="b">
        <v>0</v>
      </c>
      <c r="O787" s="22" t="b">
        <v>0</v>
      </c>
      <c r="P787" s="23" t="b">
        <v>0</v>
      </c>
    </row>
    <row r="788" hidden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1"/>
      <c r="M788" s="22" t="b">
        <v>0</v>
      </c>
      <c r="O788" s="22" t="b">
        <v>0</v>
      </c>
      <c r="P788" s="23" t="b">
        <v>0</v>
      </c>
    </row>
    <row r="789" hidden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1"/>
      <c r="M789" s="22" t="b">
        <v>0</v>
      </c>
      <c r="O789" s="22" t="b">
        <v>0</v>
      </c>
      <c r="P789" s="23" t="b">
        <v>0</v>
      </c>
    </row>
    <row r="790" hidden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1"/>
      <c r="M790" s="22" t="b">
        <v>0</v>
      </c>
      <c r="O790" s="22" t="b">
        <v>0</v>
      </c>
      <c r="P790" s="23" t="b">
        <v>0</v>
      </c>
    </row>
    <row r="791" hidden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1"/>
      <c r="M791" s="22" t="b">
        <v>0</v>
      </c>
      <c r="O791" s="22" t="b">
        <v>0</v>
      </c>
      <c r="P791" s="23" t="b">
        <v>0</v>
      </c>
    </row>
    <row r="792" hidden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1"/>
      <c r="M792" s="22" t="b">
        <v>0</v>
      </c>
      <c r="O792" s="22" t="b">
        <v>0</v>
      </c>
      <c r="P792" s="23" t="b">
        <v>0</v>
      </c>
    </row>
    <row r="793" hidden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1"/>
      <c r="M793" s="22" t="b">
        <v>0</v>
      </c>
      <c r="O793" s="22" t="b">
        <v>0</v>
      </c>
      <c r="P793" s="23" t="b">
        <v>0</v>
      </c>
    </row>
    <row r="794" hidden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1"/>
      <c r="M794" s="22" t="b">
        <v>0</v>
      </c>
      <c r="O794" s="22" t="b">
        <v>0</v>
      </c>
      <c r="P794" s="23" t="b">
        <v>0</v>
      </c>
    </row>
    <row r="795" hidden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1"/>
      <c r="M795" s="22" t="b">
        <v>0</v>
      </c>
      <c r="O795" s="22" t="b">
        <v>0</v>
      </c>
      <c r="P795" s="23" t="b">
        <v>0</v>
      </c>
    </row>
    <row r="796" hidden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1"/>
      <c r="M796" s="22" t="b">
        <v>0</v>
      </c>
      <c r="O796" s="22" t="b">
        <v>0</v>
      </c>
      <c r="P796" s="23" t="b">
        <v>0</v>
      </c>
    </row>
    <row r="797" hidden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1"/>
      <c r="M797" s="22" t="b">
        <v>0</v>
      </c>
      <c r="O797" s="22" t="b">
        <v>0</v>
      </c>
      <c r="P797" s="23" t="b">
        <v>0</v>
      </c>
    </row>
    <row r="798" hidden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1"/>
      <c r="M798" s="22" t="b">
        <v>0</v>
      </c>
      <c r="O798" s="22" t="b">
        <v>0</v>
      </c>
      <c r="P798" s="23" t="b">
        <v>0</v>
      </c>
    </row>
    <row r="799" hidden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1"/>
      <c r="M799" s="22" t="b">
        <v>0</v>
      </c>
      <c r="O799" s="22" t="b">
        <v>0</v>
      </c>
      <c r="P799" s="23" t="b">
        <v>0</v>
      </c>
    </row>
    <row r="800" hidden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1"/>
      <c r="M800" s="22" t="b">
        <v>0</v>
      </c>
      <c r="O800" s="22" t="b">
        <v>0</v>
      </c>
      <c r="P800" s="23" t="b">
        <v>0</v>
      </c>
    </row>
    <row r="801" hidden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1"/>
      <c r="M801" s="22" t="b">
        <v>0</v>
      </c>
      <c r="O801" s="22" t="b">
        <v>0</v>
      </c>
      <c r="P801" s="23" t="b">
        <v>0</v>
      </c>
    </row>
    <row r="802" hidden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1"/>
      <c r="M802" s="22" t="b">
        <v>0</v>
      </c>
      <c r="O802" s="22" t="b">
        <v>0</v>
      </c>
      <c r="P802" s="23" t="b">
        <v>0</v>
      </c>
    </row>
    <row r="803" hidden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1"/>
      <c r="M803" s="22" t="b">
        <v>0</v>
      </c>
      <c r="O803" s="22" t="b">
        <v>0</v>
      </c>
      <c r="P803" s="23" t="b">
        <v>0</v>
      </c>
    </row>
    <row r="804" hidden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1"/>
      <c r="M804" s="22" t="b">
        <v>0</v>
      </c>
      <c r="O804" s="22" t="b">
        <v>0</v>
      </c>
      <c r="P804" s="23" t="b">
        <v>0</v>
      </c>
    </row>
    <row r="805" hidden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1"/>
      <c r="M805" s="22" t="b">
        <v>0</v>
      </c>
      <c r="O805" s="22" t="b">
        <v>0</v>
      </c>
      <c r="P805" s="23" t="b">
        <v>0</v>
      </c>
    </row>
    <row r="806" hidden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1"/>
      <c r="M806" s="22" t="b">
        <v>0</v>
      </c>
      <c r="O806" s="22" t="b">
        <v>0</v>
      </c>
      <c r="P806" s="23" t="b">
        <v>0</v>
      </c>
    </row>
    <row r="807" hidden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1"/>
      <c r="M807" s="22" t="b">
        <v>0</v>
      </c>
      <c r="O807" s="22" t="b">
        <v>0</v>
      </c>
      <c r="P807" s="23" t="b">
        <v>0</v>
      </c>
    </row>
    <row r="808" hidden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1"/>
      <c r="M808" s="22" t="b">
        <v>0</v>
      </c>
      <c r="O808" s="22" t="b">
        <v>0</v>
      </c>
      <c r="P808" s="23" t="b">
        <v>0</v>
      </c>
    </row>
    <row r="809" hidden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1"/>
      <c r="M809" s="22" t="b">
        <v>0</v>
      </c>
      <c r="O809" s="22" t="b">
        <v>0</v>
      </c>
      <c r="P809" s="23" t="b">
        <v>0</v>
      </c>
    </row>
    <row r="810" hidden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1"/>
      <c r="M810" s="22" t="b">
        <v>0</v>
      </c>
      <c r="O810" s="22" t="b">
        <v>0</v>
      </c>
      <c r="P810" s="23" t="b">
        <v>0</v>
      </c>
    </row>
    <row r="811" hidden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1"/>
      <c r="M811" s="22" t="b">
        <v>0</v>
      </c>
      <c r="O811" s="22" t="b">
        <v>0</v>
      </c>
      <c r="P811" s="23" t="b">
        <v>0</v>
      </c>
    </row>
    <row r="812" hidden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1"/>
      <c r="M812" s="22" t="b">
        <v>0</v>
      </c>
      <c r="O812" s="22" t="b">
        <v>0</v>
      </c>
      <c r="P812" s="23" t="b">
        <v>0</v>
      </c>
    </row>
    <row r="813" hidden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1"/>
      <c r="M813" s="22" t="b">
        <v>0</v>
      </c>
      <c r="O813" s="22" t="b">
        <v>0</v>
      </c>
      <c r="P813" s="23" t="b">
        <v>0</v>
      </c>
    </row>
    <row r="814" hidden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1"/>
      <c r="M814" s="22" t="b">
        <v>0</v>
      </c>
      <c r="O814" s="22" t="b">
        <v>0</v>
      </c>
      <c r="P814" s="23" t="b">
        <v>0</v>
      </c>
    </row>
    <row r="815" hidden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1"/>
      <c r="M815" s="22" t="b">
        <v>0</v>
      </c>
      <c r="O815" s="22" t="b">
        <v>0</v>
      </c>
      <c r="P815" s="23" t="b">
        <v>0</v>
      </c>
    </row>
    <row r="816" hidden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1"/>
      <c r="M816" s="22" t="b">
        <v>0</v>
      </c>
      <c r="O816" s="22" t="b">
        <v>0</v>
      </c>
      <c r="P816" s="23" t="b">
        <v>0</v>
      </c>
    </row>
    <row r="817" hidden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1"/>
      <c r="M817" s="22" t="b">
        <v>0</v>
      </c>
      <c r="O817" s="22" t="b">
        <v>0</v>
      </c>
      <c r="P817" s="23" t="b">
        <v>0</v>
      </c>
    </row>
    <row r="818" hidden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1"/>
      <c r="M818" s="22" t="b">
        <v>0</v>
      </c>
      <c r="O818" s="22" t="b">
        <v>0</v>
      </c>
      <c r="P818" s="23" t="b">
        <v>0</v>
      </c>
    </row>
    <row r="819" hidden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1"/>
      <c r="M819" s="22" t="b">
        <v>0</v>
      </c>
      <c r="O819" s="22" t="b">
        <v>0</v>
      </c>
      <c r="P819" s="23" t="b">
        <v>0</v>
      </c>
    </row>
    <row r="820" hidden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1"/>
      <c r="M820" s="22" t="b">
        <v>0</v>
      </c>
      <c r="O820" s="22" t="b">
        <v>0</v>
      </c>
      <c r="P820" s="23" t="b">
        <v>0</v>
      </c>
    </row>
    <row r="821" hidden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1"/>
      <c r="M821" s="22" t="b">
        <v>0</v>
      </c>
      <c r="O821" s="22" t="b">
        <v>0</v>
      </c>
      <c r="P821" s="23" t="b">
        <v>0</v>
      </c>
    </row>
    <row r="822" hidden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1"/>
      <c r="M822" s="22" t="b">
        <v>0</v>
      </c>
      <c r="O822" s="22" t="b">
        <v>0</v>
      </c>
      <c r="P822" s="23" t="b">
        <v>0</v>
      </c>
    </row>
    <row r="823" hidden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1"/>
      <c r="M823" s="22" t="b">
        <v>0</v>
      </c>
      <c r="O823" s="22" t="b">
        <v>0</v>
      </c>
      <c r="P823" s="23" t="b">
        <v>0</v>
      </c>
    </row>
    <row r="824" hidden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1"/>
      <c r="M824" s="22" t="b">
        <v>0</v>
      </c>
      <c r="O824" s="22" t="b">
        <v>0</v>
      </c>
      <c r="P824" s="23" t="b">
        <v>0</v>
      </c>
    </row>
    <row r="825" hidden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1"/>
      <c r="M825" s="22" t="b">
        <v>0</v>
      </c>
      <c r="O825" s="22" t="b">
        <v>0</v>
      </c>
      <c r="P825" s="23" t="b">
        <v>0</v>
      </c>
    </row>
    <row r="826" hidden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1"/>
      <c r="M826" s="22" t="b">
        <v>0</v>
      </c>
      <c r="O826" s="22" t="b">
        <v>0</v>
      </c>
      <c r="P826" s="23" t="b">
        <v>0</v>
      </c>
    </row>
    <row r="827" hidden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1"/>
      <c r="M827" s="22" t="b">
        <v>0</v>
      </c>
      <c r="O827" s="22" t="b">
        <v>0</v>
      </c>
      <c r="P827" s="23" t="b">
        <v>0</v>
      </c>
    </row>
    <row r="828" hidden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1"/>
      <c r="M828" s="22" t="b">
        <v>0</v>
      </c>
      <c r="O828" s="22" t="b">
        <v>0</v>
      </c>
      <c r="P828" s="23" t="b">
        <v>0</v>
      </c>
    </row>
    <row r="829" hidden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1"/>
      <c r="M829" s="22" t="b">
        <v>0</v>
      </c>
      <c r="O829" s="22" t="b">
        <v>0</v>
      </c>
      <c r="P829" s="23" t="b">
        <v>0</v>
      </c>
    </row>
    <row r="830" hidden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1"/>
      <c r="M830" s="22" t="b">
        <v>0</v>
      </c>
      <c r="O830" s="22" t="b">
        <v>0</v>
      </c>
      <c r="P830" s="23" t="b">
        <v>0</v>
      </c>
    </row>
    <row r="831" hidden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1"/>
      <c r="M831" s="22" t="b">
        <v>0</v>
      </c>
      <c r="O831" s="22" t="b">
        <v>0</v>
      </c>
      <c r="P831" s="23" t="b">
        <v>0</v>
      </c>
    </row>
    <row r="832" hidden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1"/>
      <c r="M832" s="22" t="b">
        <v>0</v>
      </c>
      <c r="O832" s="22" t="b">
        <v>0</v>
      </c>
      <c r="P832" s="23" t="b">
        <v>0</v>
      </c>
    </row>
    <row r="833" hidden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1"/>
      <c r="M833" s="22" t="b">
        <v>0</v>
      </c>
      <c r="O833" s="22" t="b">
        <v>0</v>
      </c>
      <c r="P833" s="23" t="b">
        <v>0</v>
      </c>
    </row>
    <row r="834" hidden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1"/>
      <c r="M834" s="22" t="b">
        <v>0</v>
      </c>
      <c r="O834" s="22" t="b">
        <v>0</v>
      </c>
      <c r="P834" s="23" t="b">
        <v>0</v>
      </c>
    </row>
    <row r="835" hidden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1"/>
      <c r="M835" s="22" t="b">
        <v>0</v>
      </c>
      <c r="O835" s="22" t="b">
        <v>0</v>
      </c>
      <c r="P835" s="23" t="b">
        <v>0</v>
      </c>
    </row>
    <row r="836" hidden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1"/>
      <c r="M836" s="22" t="b">
        <v>0</v>
      </c>
      <c r="O836" s="22" t="b">
        <v>0</v>
      </c>
      <c r="P836" s="23" t="b">
        <v>0</v>
      </c>
    </row>
    <row r="837" hidden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1"/>
      <c r="M837" s="22" t="b">
        <v>0</v>
      </c>
      <c r="O837" s="22" t="b">
        <v>0</v>
      </c>
      <c r="P837" s="23" t="b">
        <v>0</v>
      </c>
    </row>
    <row r="838" hidden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1"/>
      <c r="M838" s="22" t="b">
        <v>0</v>
      </c>
      <c r="O838" s="22" t="b">
        <v>0</v>
      </c>
      <c r="P838" s="23" t="b">
        <v>0</v>
      </c>
    </row>
    <row r="839" hidden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1"/>
      <c r="M839" s="22" t="b">
        <v>0</v>
      </c>
      <c r="O839" s="22" t="b">
        <v>0</v>
      </c>
      <c r="P839" s="23" t="b">
        <v>0</v>
      </c>
    </row>
    <row r="840" hidden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1"/>
      <c r="M840" s="22" t="b">
        <v>0</v>
      </c>
      <c r="O840" s="22" t="b">
        <v>0</v>
      </c>
      <c r="P840" s="23" t="b">
        <v>0</v>
      </c>
    </row>
    <row r="841" hidden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1"/>
      <c r="M841" s="22" t="b">
        <v>0</v>
      </c>
      <c r="O841" s="22" t="b">
        <v>0</v>
      </c>
      <c r="P841" s="23" t="b">
        <v>0</v>
      </c>
    </row>
    <row r="842" hidden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1"/>
      <c r="M842" s="22" t="b">
        <v>0</v>
      </c>
      <c r="O842" s="22" t="b">
        <v>0</v>
      </c>
      <c r="P842" s="23" t="b">
        <v>0</v>
      </c>
    </row>
    <row r="843" hidden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1"/>
      <c r="M843" s="22" t="b">
        <v>0</v>
      </c>
      <c r="O843" s="22" t="b">
        <v>0</v>
      </c>
      <c r="P843" s="23" t="b">
        <v>0</v>
      </c>
    </row>
    <row r="844" hidden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1"/>
      <c r="M844" s="22" t="b">
        <v>0</v>
      </c>
      <c r="O844" s="22" t="b">
        <v>0</v>
      </c>
      <c r="P844" s="23" t="b">
        <v>0</v>
      </c>
    </row>
    <row r="845" hidden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1"/>
      <c r="M845" s="22" t="b">
        <v>0</v>
      </c>
      <c r="O845" s="22" t="b">
        <v>0</v>
      </c>
      <c r="P845" s="23" t="b">
        <v>0</v>
      </c>
    </row>
    <row r="846" hidden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1"/>
      <c r="M846" s="22" t="b">
        <v>0</v>
      </c>
      <c r="O846" s="22" t="b">
        <v>0</v>
      </c>
      <c r="P846" s="23" t="b">
        <v>0</v>
      </c>
    </row>
    <row r="847" hidden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1"/>
      <c r="M847" s="22" t="b">
        <v>0</v>
      </c>
      <c r="O847" s="22" t="b">
        <v>0</v>
      </c>
      <c r="P847" s="23" t="b">
        <v>0</v>
      </c>
    </row>
    <row r="848" hidden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1"/>
      <c r="M848" s="22" t="b">
        <v>0</v>
      </c>
      <c r="O848" s="22" t="b">
        <v>0</v>
      </c>
      <c r="P848" s="23" t="b">
        <v>0</v>
      </c>
    </row>
    <row r="849" hidden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1"/>
      <c r="M849" s="22" t="b">
        <v>0</v>
      </c>
      <c r="O849" s="22" t="b">
        <v>0</v>
      </c>
      <c r="P849" s="23" t="b">
        <v>0</v>
      </c>
    </row>
    <row r="850" hidden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1"/>
      <c r="M850" s="22" t="b">
        <v>0</v>
      </c>
      <c r="O850" s="22" t="b">
        <v>0</v>
      </c>
      <c r="P850" s="23" t="b">
        <v>0</v>
      </c>
    </row>
    <row r="851" hidden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1"/>
      <c r="M851" s="22" t="b">
        <v>0</v>
      </c>
      <c r="O851" s="22" t="b">
        <v>0</v>
      </c>
      <c r="P851" s="23" t="b">
        <v>0</v>
      </c>
    </row>
    <row r="852" hidden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1"/>
      <c r="M852" s="22" t="b">
        <v>0</v>
      </c>
      <c r="O852" s="22" t="b">
        <v>0</v>
      </c>
      <c r="P852" s="23" t="b">
        <v>0</v>
      </c>
    </row>
    <row r="853" hidden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1"/>
      <c r="M853" s="22" t="b">
        <v>0</v>
      </c>
      <c r="O853" s="22" t="b">
        <v>0</v>
      </c>
      <c r="P853" s="23" t="b">
        <v>0</v>
      </c>
    </row>
    <row r="854" hidden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1"/>
      <c r="M854" s="22" t="b">
        <v>0</v>
      </c>
      <c r="O854" s="22" t="b">
        <v>0</v>
      </c>
      <c r="P854" s="23" t="b">
        <v>0</v>
      </c>
    </row>
    <row r="855" hidden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1"/>
      <c r="M855" s="22" t="b">
        <v>0</v>
      </c>
      <c r="O855" s="22" t="b">
        <v>0</v>
      </c>
      <c r="P855" s="23" t="b">
        <v>0</v>
      </c>
    </row>
    <row r="856" hidden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1"/>
      <c r="M856" s="22" t="b">
        <v>0</v>
      </c>
      <c r="O856" s="22" t="b">
        <v>0</v>
      </c>
      <c r="P856" s="23" t="b">
        <v>0</v>
      </c>
    </row>
    <row r="857" hidden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1"/>
      <c r="M857" s="22" t="b">
        <v>0</v>
      </c>
      <c r="O857" s="22" t="b">
        <v>0</v>
      </c>
      <c r="P857" s="23" t="b">
        <v>0</v>
      </c>
    </row>
    <row r="858" hidden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1"/>
      <c r="M858" s="22" t="b">
        <v>0</v>
      </c>
      <c r="O858" s="22" t="b">
        <v>0</v>
      </c>
      <c r="P858" s="23" t="b">
        <v>0</v>
      </c>
    </row>
    <row r="859" hidden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1"/>
      <c r="M859" s="22" t="b">
        <v>0</v>
      </c>
      <c r="O859" s="22" t="b">
        <v>0</v>
      </c>
      <c r="P859" s="23" t="b">
        <v>0</v>
      </c>
    </row>
    <row r="860" hidden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1"/>
      <c r="M860" s="22" t="b">
        <v>0</v>
      </c>
      <c r="O860" s="22" t="b">
        <v>0</v>
      </c>
      <c r="P860" s="23" t="b">
        <v>0</v>
      </c>
    </row>
    <row r="861" hidden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1"/>
      <c r="M861" s="22" t="b">
        <v>0</v>
      </c>
      <c r="O861" s="22" t="b">
        <v>0</v>
      </c>
      <c r="P861" s="23" t="b">
        <v>0</v>
      </c>
    </row>
    <row r="862" hidden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1"/>
      <c r="M862" s="22" t="b">
        <v>0</v>
      </c>
      <c r="O862" s="22" t="b">
        <v>0</v>
      </c>
      <c r="P862" s="23" t="b">
        <v>0</v>
      </c>
    </row>
    <row r="863" hidden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1"/>
      <c r="M863" s="22" t="b">
        <v>0</v>
      </c>
      <c r="O863" s="22" t="b">
        <v>0</v>
      </c>
      <c r="P863" s="23" t="b">
        <v>0</v>
      </c>
    </row>
    <row r="864" hidden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1"/>
      <c r="M864" s="22" t="b">
        <v>0</v>
      </c>
      <c r="O864" s="22" t="b">
        <v>0</v>
      </c>
      <c r="P864" s="23" t="b">
        <v>0</v>
      </c>
    </row>
    <row r="865" hidden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1"/>
      <c r="M865" s="22" t="b">
        <v>0</v>
      </c>
      <c r="O865" s="22" t="b">
        <v>0</v>
      </c>
      <c r="P865" s="23" t="b">
        <v>0</v>
      </c>
    </row>
    <row r="866" hidden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1"/>
      <c r="M866" s="22" t="b">
        <v>0</v>
      </c>
      <c r="O866" s="22" t="b">
        <v>0</v>
      </c>
      <c r="P866" s="23" t="b">
        <v>0</v>
      </c>
    </row>
    <row r="867" hidden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1"/>
      <c r="M867" s="22" t="b">
        <v>0</v>
      </c>
      <c r="O867" s="22" t="b">
        <v>0</v>
      </c>
      <c r="P867" s="23" t="b">
        <v>0</v>
      </c>
    </row>
    <row r="868" hidden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1"/>
      <c r="M868" s="22" t="b">
        <v>0</v>
      </c>
      <c r="O868" s="22" t="b">
        <v>0</v>
      </c>
      <c r="P868" s="23" t="b">
        <v>0</v>
      </c>
    </row>
    <row r="869" hidden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1"/>
      <c r="M869" s="22" t="b">
        <v>0</v>
      </c>
      <c r="O869" s="22" t="b">
        <v>0</v>
      </c>
      <c r="P869" s="23" t="b">
        <v>0</v>
      </c>
    </row>
    <row r="870" hidden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1"/>
      <c r="M870" s="22" t="b">
        <v>0</v>
      </c>
      <c r="O870" s="22" t="b">
        <v>0</v>
      </c>
      <c r="P870" s="23" t="b">
        <v>0</v>
      </c>
    </row>
    <row r="871" hidden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1"/>
      <c r="M871" s="22" t="b">
        <v>0</v>
      </c>
      <c r="O871" s="22" t="b">
        <v>0</v>
      </c>
      <c r="P871" s="23" t="b">
        <v>0</v>
      </c>
    </row>
    <row r="872" hidden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1"/>
      <c r="M872" s="22" t="b">
        <v>0</v>
      </c>
      <c r="O872" s="22" t="b">
        <v>0</v>
      </c>
      <c r="P872" s="23" t="b">
        <v>0</v>
      </c>
    </row>
    <row r="873" hidden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1"/>
      <c r="M873" s="22" t="b">
        <v>0</v>
      </c>
      <c r="O873" s="22" t="b">
        <v>0</v>
      </c>
      <c r="P873" s="23" t="b">
        <v>0</v>
      </c>
    </row>
    <row r="874" hidden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1"/>
      <c r="M874" s="22" t="b">
        <v>0</v>
      </c>
      <c r="O874" s="22" t="b">
        <v>0</v>
      </c>
      <c r="P874" s="23" t="b">
        <v>0</v>
      </c>
    </row>
    <row r="875" hidden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1"/>
      <c r="M875" s="22" t="b">
        <v>0</v>
      </c>
      <c r="O875" s="22" t="b">
        <v>0</v>
      </c>
      <c r="P875" s="23" t="b">
        <v>0</v>
      </c>
    </row>
    <row r="876" hidden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1"/>
      <c r="M876" s="22" t="b">
        <v>0</v>
      </c>
      <c r="O876" s="22" t="b">
        <v>0</v>
      </c>
      <c r="P876" s="23" t="b">
        <v>0</v>
      </c>
    </row>
    <row r="877" hidden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1"/>
      <c r="M877" s="22" t="b">
        <v>0</v>
      </c>
      <c r="O877" s="22" t="b">
        <v>0</v>
      </c>
      <c r="P877" s="23" t="b">
        <v>0</v>
      </c>
    </row>
    <row r="878" hidden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1"/>
      <c r="M878" s="22" t="b">
        <v>0</v>
      </c>
      <c r="O878" s="22" t="b">
        <v>0</v>
      </c>
      <c r="P878" s="23" t="b">
        <v>0</v>
      </c>
    </row>
    <row r="879" hidden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1"/>
      <c r="M879" s="22" t="b">
        <v>0</v>
      </c>
      <c r="O879" s="22" t="b">
        <v>0</v>
      </c>
      <c r="P879" s="23" t="b">
        <v>0</v>
      </c>
    </row>
    <row r="880" hidden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1"/>
      <c r="M880" s="22" t="b">
        <v>0</v>
      </c>
      <c r="O880" s="22" t="b">
        <v>0</v>
      </c>
      <c r="P880" s="23" t="b">
        <v>0</v>
      </c>
    </row>
    <row r="881" hidden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1"/>
      <c r="M881" s="22" t="b">
        <v>0</v>
      </c>
      <c r="O881" s="22" t="b">
        <v>0</v>
      </c>
      <c r="P881" s="23" t="b">
        <v>0</v>
      </c>
    </row>
    <row r="882" hidden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1"/>
      <c r="M882" s="22" t="b">
        <v>0</v>
      </c>
      <c r="O882" s="22" t="b">
        <v>0</v>
      </c>
      <c r="P882" s="23" t="b">
        <v>0</v>
      </c>
    </row>
    <row r="883" hidden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1"/>
      <c r="M883" s="22" t="b">
        <v>0</v>
      </c>
      <c r="O883" s="22" t="b">
        <v>0</v>
      </c>
      <c r="P883" s="23" t="b">
        <v>0</v>
      </c>
    </row>
    <row r="884" hidden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1"/>
      <c r="M884" s="22" t="b">
        <v>0</v>
      </c>
      <c r="O884" s="22" t="b">
        <v>0</v>
      </c>
      <c r="P884" s="23" t="b">
        <v>0</v>
      </c>
    </row>
    <row r="885" hidden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1"/>
      <c r="M885" s="22" t="b">
        <v>0</v>
      </c>
      <c r="O885" s="22" t="b">
        <v>0</v>
      </c>
      <c r="P885" s="23" t="b">
        <v>0</v>
      </c>
    </row>
    <row r="886" hidden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1"/>
      <c r="M886" s="22" t="b">
        <v>0</v>
      </c>
      <c r="O886" s="22" t="b">
        <v>0</v>
      </c>
      <c r="P886" s="23" t="b">
        <v>0</v>
      </c>
    </row>
    <row r="887" hidden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1"/>
      <c r="M887" s="22" t="b">
        <v>0</v>
      </c>
      <c r="O887" s="22" t="b">
        <v>0</v>
      </c>
      <c r="P887" s="23" t="b">
        <v>0</v>
      </c>
    </row>
    <row r="888" hidden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1"/>
      <c r="M888" s="22" t="b">
        <v>0</v>
      </c>
      <c r="O888" s="22" t="b">
        <v>0</v>
      </c>
      <c r="P888" s="23" t="b">
        <v>0</v>
      </c>
    </row>
    <row r="889" hidden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1"/>
      <c r="M889" s="22" t="b">
        <v>0</v>
      </c>
      <c r="O889" s="22" t="b">
        <v>0</v>
      </c>
      <c r="P889" s="23" t="b">
        <v>0</v>
      </c>
    </row>
    <row r="890" hidden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1"/>
      <c r="M890" s="22" t="b">
        <v>0</v>
      </c>
      <c r="O890" s="22" t="b">
        <v>0</v>
      </c>
      <c r="P890" s="23" t="b">
        <v>0</v>
      </c>
    </row>
    <row r="891" hidden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1"/>
      <c r="M891" s="22" t="b">
        <v>0</v>
      </c>
      <c r="O891" s="22" t="b">
        <v>0</v>
      </c>
      <c r="P891" s="23" t="b">
        <v>0</v>
      </c>
    </row>
    <row r="892" hidden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1"/>
      <c r="M892" s="22" t="b">
        <v>0</v>
      </c>
      <c r="O892" s="22" t="b">
        <v>0</v>
      </c>
      <c r="P892" s="23" t="b">
        <v>0</v>
      </c>
    </row>
    <row r="893" hidden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1"/>
      <c r="M893" s="22" t="b">
        <v>0</v>
      </c>
      <c r="O893" s="22" t="b">
        <v>0</v>
      </c>
      <c r="P893" s="23" t="b">
        <v>0</v>
      </c>
    </row>
    <row r="894" hidden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1"/>
      <c r="M894" s="22" t="b">
        <v>0</v>
      </c>
      <c r="O894" s="22" t="b">
        <v>0</v>
      </c>
      <c r="P894" s="23" t="b">
        <v>0</v>
      </c>
    </row>
    <row r="895" hidden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1"/>
      <c r="M895" s="22" t="b">
        <v>0</v>
      </c>
      <c r="O895" s="22" t="b">
        <v>0</v>
      </c>
      <c r="P895" s="23" t="b">
        <v>0</v>
      </c>
    </row>
    <row r="896" hidden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1"/>
      <c r="M896" s="22" t="b">
        <v>0</v>
      </c>
      <c r="O896" s="22" t="b">
        <v>0</v>
      </c>
      <c r="P896" s="23" t="b">
        <v>0</v>
      </c>
    </row>
    <row r="897" hidden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1"/>
      <c r="M897" s="22" t="b">
        <v>0</v>
      </c>
      <c r="O897" s="22" t="b">
        <v>0</v>
      </c>
      <c r="P897" s="23" t="b">
        <v>0</v>
      </c>
    </row>
    <row r="898" hidden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1"/>
      <c r="M898" s="22" t="b">
        <v>0</v>
      </c>
      <c r="O898" s="22" t="b">
        <v>0</v>
      </c>
      <c r="P898" s="23" t="b">
        <v>0</v>
      </c>
    </row>
    <row r="899" hidden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1"/>
      <c r="M899" s="22" t="b">
        <v>0</v>
      </c>
      <c r="O899" s="22" t="b">
        <v>0</v>
      </c>
      <c r="P899" s="23" t="b">
        <v>0</v>
      </c>
    </row>
    <row r="900" hidden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1"/>
      <c r="M900" s="22" t="b">
        <v>0</v>
      </c>
      <c r="O900" s="22" t="b">
        <v>0</v>
      </c>
      <c r="P900" s="23" t="b">
        <v>0</v>
      </c>
    </row>
    <row r="901" hidden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1"/>
      <c r="M901" s="22" t="b">
        <v>0</v>
      </c>
      <c r="O901" s="22" t="b">
        <v>0</v>
      </c>
      <c r="P901" s="23" t="b">
        <v>0</v>
      </c>
    </row>
    <row r="902" hidden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1"/>
      <c r="M902" s="22" t="b">
        <v>0</v>
      </c>
      <c r="O902" s="22" t="b">
        <v>0</v>
      </c>
      <c r="P902" s="23" t="b">
        <v>0</v>
      </c>
    </row>
    <row r="903" hidden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1"/>
      <c r="M903" s="22" t="b">
        <v>0</v>
      </c>
      <c r="O903" s="22" t="b">
        <v>0</v>
      </c>
      <c r="P903" s="23" t="b">
        <v>0</v>
      </c>
    </row>
    <row r="904" hidden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1"/>
      <c r="M904" s="22" t="b">
        <v>0</v>
      </c>
      <c r="O904" s="22" t="b">
        <v>0</v>
      </c>
      <c r="P904" s="23" t="b">
        <v>0</v>
      </c>
    </row>
    <row r="905" hidden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1"/>
      <c r="M905" s="22" t="b">
        <v>0</v>
      </c>
      <c r="O905" s="22" t="b">
        <v>0</v>
      </c>
      <c r="P905" s="23" t="b">
        <v>0</v>
      </c>
    </row>
    <row r="906" hidden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1"/>
      <c r="M906" s="22" t="b">
        <v>0</v>
      </c>
      <c r="O906" s="22" t="b">
        <v>0</v>
      </c>
      <c r="P906" s="23" t="b">
        <v>0</v>
      </c>
    </row>
    <row r="907" hidden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1"/>
      <c r="M907" s="22" t="b">
        <v>0</v>
      </c>
      <c r="O907" s="22" t="b">
        <v>0</v>
      </c>
      <c r="P907" s="23" t="b">
        <v>0</v>
      </c>
    </row>
    <row r="908" hidden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1"/>
      <c r="M908" s="22" t="b">
        <v>0</v>
      </c>
      <c r="O908" s="22" t="b">
        <v>0</v>
      </c>
      <c r="P908" s="23" t="b">
        <v>0</v>
      </c>
    </row>
    <row r="909" hidden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1"/>
      <c r="M909" s="22" t="b">
        <v>0</v>
      </c>
      <c r="O909" s="22" t="b">
        <v>0</v>
      </c>
      <c r="P909" s="23" t="b">
        <v>0</v>
      </c>
    </row>
    <row r="910" hidden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1"/>
      <c r="M910" s="22" t="b">
        <v>0</v>
      </c>
      <c r="O910" s="22" t="b">
        <v>0</v>
      </c>
      <c r="P910" s="23" t="b">
        <v>0</v>
      </c>
    </row>
    <row r="911" hidden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1"/>
      <c r="M911" s="22" t="b">
        <v>0</v>
      </c>
      <c r="O911" s="22" t="b">
        <v>0</v>
      </c>
      <c r="P911" s="23" t="b">
        <v>0</v>
      </c>
    </row>
    <row r="912" hidden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1"/>
      <c r="M912" s="22" t="b">
        <v>0</v>
      </c>
      <c r="O912" s="22" t="b">
        <v>0</v>
      </c>
      <c r="P912" s="23" t="b">
        <v>0</v>
      </c>
    </row>
    <row r="913" hidden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1"/>
      <c r="M913" s="22" t="b">
        <v>0</v>
      </c>
      <c r="O913" s="22" t="b">
        <v>0</v>
      </c>
      <c r="P913" s="23" t="b">
        <v>0</v>
      </c>
    </row>
    <row r="914" hidden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1"/>
      <c r="M914" s="22" t="b">
        <v>0</v>
      </c>
      <c r="O914" s="22" t="b">
        <v>0</v>
      </c>
      <c r="P914" s="23" t="b">
        <v>0</v>
      </c>
    </row>
    <row r="915" hidden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1"/>
      <c r="M915" s="22" t="b">
        <v>0</v>
      </c>
      <c r="O915" s="22" t="b">
        <v>0</v>
      </c>
      <c r="P915" s="23" t="b">
        <v>0</v>
      </c>
    </row>
    <row r="916" hidden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1"/>
      <c r="M916" s="22" t="b">
        <v>0</v>
      </c>
      <c r="O916" s="22" t="b">
        <v>0</v>
      </c>
      <c r="P916" s="23" t="b">
        <v>0</v>
      </c>
    </row>
    <row r="917" hidden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1"/>
      <c r="M917" s="22" t="b">
        <v>0</v>
      </c>
      <c r="O917" s="22" t="b">
        <v>0</v>
      </c>
      <c r="P917" s="23" t="b">
        <v>0</v>
      </c>
    </row>
    <row r="918" hidden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1"/>
      <c r="M918" s="22" t="b">
        <v>0</v>
      </c>
      <c r="O918" s="22" t="b">
        <v>0</v>
      </c>
      <c r="P918" s="23" t="b">
        <v>0</v>
      </c>
    </row>
    <row r="919" hidden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1"/>
      <c r="M919" s="22" t="b">
        <v>0</v>
      </c>
      <c r="O919" s="22" t="b">
        <v>0</v>
      </c>
      <c r="P919" s="23" t="b">
        <v>0</v>
      </c>
    </row>
    <row r="920" hidden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1"/>
      <c r="M920" s="22" t="b">
        <v>0</v>
      </c>
      <c r="O920" s="22" t="b">
        <v>0</v>
      </c>
      <c r="P920" s="23" t="b">
        <v>0</v>
      </c>
    </row>
    <row r="921" hidden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1"/>
      <c r="M921" s="22" t="b">
        <v>0</v>
      </c>
      <c r="O921" s="22" t="b">
        <v>0</v>
      </c>
      <c r="P921" s="23" t="b">
        <v>0</v>
      </c>
    </row>
    <row r="922" hidden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1"/>
      <c r="M922" s="22" t="b">
        <v>0</v>
      </c>
      <c r="O922" s="22" t="b">
        <v>0</v>
      </c>
      <c r="P922" s="23" t="b">
        <v>0</v>
      </c>
    </row>
    <row r="923" hidden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1"/>
      <c r="M923" s="22" t="b">
        <v>0</v>
      </c>
      <c r="O923" s="22" t="b">
        <v>0</v>
      </c>
      <c r="P923" s="23" t="b">
        <v>0</v>
      </c>
    </row>
    <row r="924" hidden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1"/>
      <c r="M924" s="22" t="b">
        <v>0</v>
      </c>
      <c r="O924" s="22" t="b">
        <v>0</v>
      </c>
      <c r="P924" s="23" t="b">
        <v>0</v>
      </c>
    </row>
    <row r="925" hidden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1"/>
      <c r="M925" s="22" t="b">
        <v>0</v>
      </c>
      <c r="O925" s="22" t="b">
        <v>0</v>
      </c>
      <c r="P925" s="23" t="b">
        <v>0</v>
      </c>
    </row>
    <row r="926" hidden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1"/>
      <c r="M926" s="22" t="b">
        <v>0</v>
      </c>
      <c r="O926" s="22" t="b">
        <v>0</v>
      </c>
      <c r="P926" s="23" t="b">
        <v>0</v>
      </c>
    </row>
    <row r="927" hidden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1"/>
      <c r="M927" s="22" t="b">
        <v>0</v>
      </c>
      <c r="O927" s="22" t="b">
        <v>0</v>
      </c>
      <c r="P927" s="23" t="b">
        <v>0</v>
      </c>
    </row>
    <row r="928" hidden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1"/>
      <c r="M928" s="22" t="b">
        <v>0</v>
      </c>
      <c r="O928" s="22" t="b">
        <v>0</v>
      </c>
      <c r="P928" s="23" t="b">
        <v>0</v>
      </c>
    </row>
    <row r="929" hidden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1"/>
      <c r="M929" s="22" t="b">
        <v>0</v>
      </c>
      <c r="O929" s="22" t="b">
        <v>0</v>
      </c>
      <c r="P929" s="23" t="b">
        <v>0</v>
      </c>
    </row>
    <row r="930" hidden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1"/>
      <c r="M930" s="22" t="b">
        <v>0</v>
      </c>
      <c r="O930" s="22" t="b">
        <v>0</v>
      </c>
      <c r="P930" s="23" t="b">
        <v>0</v>
      </c>
    </row>
    <row r="931" hidden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1"/>
      <c r="M931" s="22" t="b">
        <v>0</v>
      </c>
      <c r="O931" s="22" t="b">
        <v>0</v>
      </c>
      <c r="P931" s="23" t="b">
        <v>0</v>
      </c>
    </row>
    <row r="932" hidden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1"/>
      <c r="M932" s="22" t="b">
        <v>0</v>
      </c>
      <c r="O932" s="22" t="b">
        <v>0</v>
      </c>
      <c r="P932" s="23" t="b">
        <v>0</v>
      </c>
    </row>
    <row r="933" hidden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1"/>
      <c r="M933" s="22" t="b">
        <v>0</v>
      </c>
      <c r="O933" s="22" t="b">
        <v>0</v>
      </c>
      <c r="P933" s="23" t="b">
        <v>0</v>
      </c>
    </row>
    <row r="934" hidden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1"/>
      <c r="M934" s="22" t="b">
        <v>0</v>
      </c>
      <c r="O934" s="22" t="b">
        <v>0</v>
      </c>
      <c r="P934" s="23" t="b">
        <v>0</v>
      </c>
    </row>
    <row r="935" hidden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1"/>
      <c r="M935" s="22" t="b">
        <v>0</v>
      </c>
      <c r="O935" s="22" t="b">
        <v>0</v>
      </c>
      <c r="P935" s="23" t="b">
        <v>0</v>
      </c>
    </row>
    <row r="936" hidden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1"/>
      <c r="M936" s="22" t="b">
        <v>0</v>
      </c>
      <c r="O936" s="22" t="b">
        <v>0</v>
      </c>
      <c r="P936" s="23" t="b">
        <v>0</v>
      </c>
    </row>
    <row r="937" hidden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1"/>
      <c r="M937" s="22" t="b">
        <v>0</v>
      </c>
      <c r="O937" s="22" t="b">
        <v>0</v>
      </c>
      <c r="P937" s="23" t="b">
        <v>0</v>
      </c>
    </row>
    <row r="938" hidden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1"/>
      <c r="M938" s="22" t="b">
        <v>0</v>
      </c>
      <c r="O938" s="22" t="b">
        <v>0</v>
      </c>
      <c r="P938" s="23" t="b">
        <v>0</v>
      </c>
    </row>
    <row r="939" hidden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1"/>
      <c r="M939" s="22" t="b">
        <v>0</v>
      </c>
      <c r="O939" s="22" t="b">
        <v>0</v>
      </c>
      <c r="P939" s="23" t="b">
        <v>0</v>
      </c>
    </row>
    <row r="940" hidden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1"/>
      <c r="M940" s="22" t="b">
        <v>0</v>
      </c>
      <c r="O940" s="22" t="b">
        <v>0</v>
      </c>
      <c r="P940" s="23" t="b">
        <v>0</v>
      </c>
    </row>
    <row r="941" hidden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1"/>
      <c r="M941" s="22" t="b">
        <v>0</v>
      </c>
      <c r="O941" s="22" t="b">
        <v>0</v>
      </c>
      <c r="P941" s="23" t="b">
        <v>0</v>
      </c>
    </row>
    <row r="942" hidden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1"/>
      <c r="M942" s="22" t="b">
        <v>0</v>
      </c>
      <c r="O942" s="22" t="b">
        <v>0</v>
      </c>
      <c r="P942" s="23" t="b">
        <v>0</v>
      </c>
    </row>
    <row r="943" hidden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1"/>
      <c r="M943" s="22" t="b">
        <v>0</v>
      </c>
      <c r="O943" s="22" t="b">
        <v>0</v>
      </c>
      <c r="P943" s="23" t="b">
        <v>0</v>
      </c>
    </row>
    <row r="944" hidden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1"/>
      <c r="M944" s="22" t="b">
        <v>0</v>
      </c>
      <c r="O944" s="22" t="b">
        <v>0</v>
      </c>
      <c r="P944" s="23" t="b">
        <v>0</v>
      </c>
    </row>
    <row r="945" hidden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1"/>
      <c r="M945" s="22" t="b">
        <v>0</v>
      </c>
      <c r="O945" s="22" t="b">
        <v>0</v>
      </c>
      <c r="P945" s="23" t="b">
        <v>0</v>
      </c>
    </row>
    <row r="946" hidden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1"/>
      <c r="M946" s="22" t="b">
        <v>0</v>
      </c>
      <c r="O946" s="22" t="b">
        <v>0</v>
      </c>
      <c r="P946" s="23" t="b">
        <v>0</v>
      </c>
    </row>
    <row r="947" hidden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1"/>
      <c r="M947" s="22" t="b">
        <v>0</v>
      </c>
      <c r="O947" s="22" t="b">
        <v>0</v>
      </c>
      <c r="P947" s="23" t="b">
        <v>0</v>
      </c>
    </row>
    <row r="948" hidden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1"/>
      <c r="M948" s="22" t="b">
        <v>0</v>
      </c>
      <c r="O948" s="22" t="b">
        <v>0</v>
      </c>
      <c r="P948" s="23" t="b">
        <v>0</v>
      </c>
    </row>
    <row r="949" hidden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1"/>
      <c r="M949" s="22" t="b">
        <v>0</v>
      </c>
      <c r="O949" s="22" t="b">
        <v>0</v>
      </c>
      <c r="P949" s="23" t="b">
        <v>0</v>
      </c>
    </row>
    <row r="950" hidden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1"/>
      <c r="M950" s="22" t="b">
        <v>0</v>
      </c>
      <c r="O950" s="22" t="b">
        <v>0</v>
      </c>
      <c r="P950" s="23" t="b">
        <v>0</v>
      </c>
    </row>
    <row r="951" hidden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1"/>
      <c r="M951" s="22" t="b">
        <v>0</v>
      </c>
      <c r="O951" s="22" t="b">
        <v>0</v>
      </c>
      <c r="P951" s="23" t="b">
        <v>0</v>
      </c>
    </row>
    <row r="952" hidden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1"/>
      <c r="M952" s="22" t="b">
        <v>0</v>
      </c>
      <c r="O952" s="22" t="b">
        <v>0</v>
      </c>
      <c r="P952" s="23" t="b">
        <v>0</v>
      </c>
    </row>
    <row r="953" hidden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1"/>
      <c r="M953" s="22" t="b">
        <v>0</v>
      </c>
      <c r="O953" s="22" t="b">
        <v>0</v>
      </c>
      <c r="P953" s="23" t="b">
        <v>0</v>
      </c>
    </row>
    <row r="954" hidden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1"/>
      <c r="M954" s="22" t="b">
        <v>0</v>
      </c>
      <c r="O954" s="22" t="b">
        <v>0</v>
      </c>
      <c r="P954" s="23" t="b">
        <v>0</v>
      </c>
    </row>
    <row r="955" hidden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1"/>
      <c r="M955" s="22" t="b">
        <v>0</v>
      </c>
      <c r="O955" s="22" t="b">
        <v>0</v>
      </c>
      <c r="P955" s="23" t="b">
        <v>0</v>
      </c>
    </row>
    <row r="956" hidden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1"/>
      <c r="M956" s="22" t="b">
        <v>0</v>
      </c>
      <c r="O956" s="22" t="b">
        <v>0</v>
      </c>
      <c r="P956" s="23" t="b">
        <v>0</v>
      </c>
    </row>
    <row r="957" hidden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1"/>
      <c r="M957" s="22" t="b">
        <v>0</v>
      </c>
      <c r="O957" s="22" t="b">
        <v>0</v>
      </c>
      <c r="P957" s="23" t="b">
        <v>0</v>
      </c>
    </row>
    <row r="958" hidden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1"/>
      <c r="M958" s="22" t="b">
        <v>0</v>
      </c>
      <c r="O958" s="22" t="b">
        <v>0</v>
      </c>
      <c r="P958" s="23" t="b">
        <v>0</v>
      </c>
    </row>
    <row r="959" hidden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1"/>
      <c r="M959" s="22" t="b">
        <v>0</v>
      </c>
      <c r="O959" s="22" t="b">
        <v>0</v>
      </c>
      <c r="P959" s="23" t="b">
        <v>0</v>
      </c>
    </row>
    <row r="960" hidden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1"/>
      <c r="M960" s="22" t="b">
        <v>0</v>
      </c>
      <c r="O960" s="22" t="b">
        <v>0</v>
      </c>
      <c r="P960" s="23" t="b">
        <v>0</v>
      </c>
    </row>
    <row r="961" hidden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1"/>
      <c r="M961" s="22" t="b">
        <v>0</v>
      </c>
      <c r="O961" s="22" t="b">
        <v>0</v>
      </c>
      <c r="P961" s="23" t="b">
        <v>0</v>
      </c>
    </row>
    <row r="962" hidden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1"/>
      <c r="M962" s="22" t="b">
        <v>0</v>
      </c>
      <c r="O962" s="22" t="b">
        <v>0</v>
      </c>
      <c r="P962" s="23" t="b">
        <v>0</v>
      </c>
    </row>
    <row r="963" hidden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1"/>
      <c r="M963" s="22" t="b">
        <v>0</v>
      </c>
      <c r="O963" s="22" t="b">
        <v>0</v>
      </c>
      <c r="P963" s="23" t="b">
        <v>0</v>
      </c>
    </row>
    <row r="964" hidden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1"/>
      <c r="M964" s="22" t="b">
        <v>0</v>
      </c>
      <c r="O964" s="22" t="b">
        <v>0</v>
      </c>
      <c r="P964" s="23" t="b">
        <v>0</v>
      </c>
    </row>
    <row r="965" hidden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1"/>
      <c r="M965" s="22" t="b">
        <v>0</v>
      </c>
      <c r="O965" s="22" t="b">
        <v>0</v>
      </c>
      <c r="P965" s="23" t="b">
        <v>0</v>
      </c>
    </row>
    <row r="966" hidden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1"/>
      <c r="M966" s="22" t="b">
        <v>0</v>
      </c>
      <c r="O966" s="22" t="b">
        <v>0</v>
      </c>
      <c r="P966" s="23" t="b">
        <v>0</v>
      </c>
    </row>
    <row r="967" hidden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1"/>
      <c r="M967" s="22" t="b">
        <v>0</v>
      </c>
      <c r="O967" s="22" t="b">
        <v>0</v>
      </c>
      <c r="P967" s="23" t="b">
        <v>0</v>
      </c>
    </row>
    <row r="968" hidden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1"/>
      <c r="M968" s="22" t="b">
        <v>0</v>
      </c>
      <c r="O968" s="22" t="b">
        <v>0</v>
      </c>
      <c r="P968" s="23" t="b">
        <v>0</v>
      </c>
    </row>
    <row r="969" hidden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1"/>
      <c r="M969" s="22" t="b">
        <v>0</v>
      </c>
      <c r="O969" s="22" t="b">
        <v>0</v>
      </c>
      <c r="P969" s="23" t="b">
        <v>0</v>
      </c>
    </row>
    <row r="970" hidden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1"/>
      <c r="M970" s="22" t="b">
        <v>0</v>
      </c>
      <c r="O970" s="22" t="b">
        <v>0</v>
      </c>
      <c r="P970" s="23" t="b">
        <v>0</v>
      </c>
    </row>
    <row r="971" hidden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1"/>
      <c r="M971" s="22" t="b">
        <v>0</v>
      </c>
      <c r="O971" s="22" t="b">
        <v>0</v>
      </c>
      <c r="P971" s="23" t="b">
        <v>0</v>
      </c>
    </row>
    <row r="972" hidden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1"/>
      <c r="M972" s="22" t="b">
        <v>0</v>
      </c>
      <c r="O972" s="22" t="b">
        <v>0</v>
      </c>
      <c r="P972" s="23" t="b">
        <v>0</v>
      </c>
    </row>
    <row r="973" hidden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1"/>
      <c r="M973" s="22" t="b">
        <v>0</v>
      </c>
      <c r="O973" s="22" t="b">
        <v>0</v>
      </c>
      <c r="P973" s="23" t="b">
        <v>0</v>
      </c>
    </row>
    <row r="974" hidden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1"/>
      <c r="M974" s="22" t="b">
        <v>0</v>
      </c>
      <c r="O974" s="22" t="b">
        <v>0</v>
      </c>
      <c r="P974" s="23" t="b">
        <v>0</v>
      </c>
    </row>
    <row r="975" hidden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1"/>
      <c r="M975" s="22" t="b">
        <v>0</v>
      </c>
      <c r="O975" s="22" t="b">
        <v>0</v>
      </c>
      <c r="P975" s="23" t="b">
        <v>0</v>
      </c>
    </row>
    <row r="976" hidden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1"/>
      <c r="M976" s="22" t="b">
        <v>0</v>
      </c>
      <c r="O976" s="22" t="b">
        <v>0</v>
      </c>
      <c r="P976" s="23" t="b">
        <v>0</v>
      </c>
    </row>
    <row r="977" hidden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1"/>
      <c r="M977" s="22" t="b">
        <v>0</v>
      </c>
      <c r="O977" s="22" t="b">
        <v>0</v>
      </c>
      <c r="P977" s="23" t="b">
        <v>0</v>
      </c>
    </row>
    <row r="978" hidden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1"/>
      <c r="M978" s="22" t="b">
        <v>0</v>
      </c>
      <c r="O978" s="22" t="b">
        <v>0</v>
      </c>
      <c r="P978" s="23" t="b">
        <v>0</v>
      </c>
    </row>
    <row r="979" hidden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1"/>
      <c r="M979" s="22" t="b">
        <v>0</v>
      </c>
      <c r="O979" s="22" t="b">
        <v>0</v>
      </c>
      <c r="P979" s="23" t="b">
        <v>0</v>
      </c>
    </row>
    <row r="980" hidden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1"/>
      <c r="M980" s="22" t="b">
        <v>0</v>
      </c>
      <c r="O980" s="22" t="b">
        <v>0</v>
      </c>
      <c r="P980" s="23" t="b">
        <v>0</v>
      </c>
    </row>
    <row r="981" hidden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1"/>
      <c r="M981" s="22" t="b">
        <v>0</v>
      </c>
      <c r="O981" s="22" t="b">
        <v>0</v>
      </c>
      <c r="P981" s="23" t="b">
        <v>0</v>
      </c>
    </row>
    <row r="982" hidden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1"/>
      <c r="M982" s="22" t="b">
        <v>0</v>
      </c>
      <c r="O982" s="22" t="b">
        <v>0</v>
      </c>
      <c r="P982" s="23" t="b">
        <v>0</v>
      </c>
    </row>
    <row r="983" hidden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1"/>
      <c r="M983" s="22" t="b">
        <v>0</v>
      </c>
      <c r="O983" s="22" t="b">
        <v>0</v>
      </c>
      <c r="P983" s="23" t="b">
        <v>0</v>
      </c>
    </row>
    <row r="984" hidden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1"/>
      <c r="M984" s="22" t="b">
        <v>0</v>
      </c>
      <c r="O984" s="22" t="b">
        <v>0</v>
      </c>
      <c r="P984" s="23" t="b">
        <v>0</v>
      </c>
    </row>
    <row r="985" hidden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1"/>
      <c r="M985" s="22" t="b">
        <v>0</v>
      </c>
      <c r="O985" s="22" t="b">
        <v>0</v>
      </c>
      <c r="P985" s="23" t="b">
        <v>0</v>
      </c>
    </row>
    <row r="986" hidden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1"/>
      <c r="M986" s="22" t="b">
        <v>0</v>
      </c>
      <c r="O986" s="22" t="b">
        <v>0</v>
      </c>
      <c r="P986" s="23" t="b">
        <v>0</v>
      </c>
    </row>
    <row r="987" hidden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1"/>
      <c r="M987" s="22" t="b">
        <v>0</v>
      </c>
      <c r="O987" s="22" t="b">
        <v>0</v>
      </c>
      <c r="P987" s="23" t="b">
        <v>0</v>
      </c>
    </row>
    <row r="988" hidden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1"/>
      <c r="M988" s="22" t="b">
        <v>0</v>
      </c>
      <c r="O988" s="22" t="b">
        <v>0</v>
      </c>
      <c r="P988" s="23" t="b">
        <v>0</v>
      </c>
    </row>
    <row r="989" hidden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1"/>
      <c r="M989" s="22" t="b">
        <v>0</v>
      </c>
      <c r="O989" s="22" t="b">
        <v>0</v>
      </c>
      <c r="P989" s="23" t="b">
        <v>0</v>
      </c>
    </row>
    <row r="990" hidden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1"/>
      <c r="M990" s="22" t="b">
        <v>0</v>
      </c>
      <c r="O990" s="22" t="b">
        <v>0</v>
      </c>
      <c r="P990" s="23" t="b">
        <v>0</v>
      </c>
    </row>
    <row r="991" hidden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1"/>
      <c r="M991" s="22" t="b">
        <v>0</v>
      </c>
      <c r="O991" s="22" t="b">
        <v>0</v>
      </c>
      <c r="P991" s="23" t="b">
        <v>0</v>
      </c>
    </row>
    <row r="992" hidden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1"/>
      <c r="M992" s="22" t="b">
        <v>0</v>
      </c>
      <c r="O992" s="22" t="b">
        <v>0</v>
      </c>
      <c r="P992" s="23" t="b">
        <v>0</v>
      </c>
    </row>
    <row r="993" hidden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1"/>
      <c r="M993" s="22" t="b">
        <v>0</v>
      </c>
      <c r="O993" s="22" t="b">
        <v>0</v>
      </c>
      <c r="P993" s="23" t="b">
        <v>0</v>
      </c>
    </row>
    <row r="994" hidden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1"/>
      <c r="M994" s="22" t="b">
        <v>0</v>
      </c>
      <c r="O994" s="22" t="b">
        <v>0</v>
      </c>
      <c r="P994" s="23" t="b">
        <v>0</v>
      </c>
    </row>
    <row r="995" hidden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1"/>
      <c r="M995" s="22" t="b">
        <v>0</v>
      </c>
      <c r="O995" s="22" t="b">
        <v>0</v>
      </c>
      <c r="P995" s="23" t="b">
        <v>0</v>
      </c>
    </row>
    <row r="996" hidden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1"/>
      <c r="M996" s="22" t="b">
        <v>0</v>
      </c>
      <c r="O996" s="22" t="b">
        <v>0</v>
      </c>
      <c r="P996" s="23" t="b">
        <v>0</v>
      </c>
    </row>
    <row r="997" hidden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1"/>
      <c r="M997" s="22" t="b">
        <v>0</v>
      </c>
      <c r="O997" s="22" t="b">
        <v>0</v>
      </c>
      <c r="P997" s="23" t="b">
        <v>0</v>
      </c>
    </row>
    <row r="998" hidden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1"/>
      <c r="M998" s="22" t="b">
        <v>0</v>
      </c>
      <c r="O998" s="22" t="b">
        <v>0</v>
      </c>
      <c r="P998" s="23" t="b">
        <v>0</v>
      </c>
    </row>
    <row r="999" hidden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1"/>
      <c r="M999" s="22" t="b">
        <v>0</v>
      </c>
      <c r="O999" s="22" t="b">
        <v>0</v>
      </c>
      <c r="P999" s="23" t="b">
        <v>0</v>
      </c>
    </row>
    <row r="1000" hidden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1"/>
      <c r="M1000" s="22" t="b">
        <v>0</v>
      </c>
      <c r="O1000" s="22" t="b">
        <v>0</v>
      </c>
      <c r="P1000" s="23" t="b">
        <v>0</v>
      </c>
    </row>
  </sheetData>
  <autoFilter ref="$A$1:$P$1000">
    <filterColumn colId="3">
      <filters>
        <filter val="South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5.0"/>
    <col customWidth="1" min="3" max="4" width="14.75"/>
    <col customWidth="1" min="5" max="5" width="22.38"/>
    <col customWidth="1" min="6" max="6" width="16.75"/>
    <col customWidth="1" min="12" max="12" width="15.13"/>
    <col customWidth="1" min="13" max="13" width="16.5"/>
  </cols>
  <sheetData>
    <row r="1">
      <c r="A1" s="25"/>
      <c r="B1" s="26" t="s">
        <v>148</v>
      </c>
      <c r="C1" s="27" t="s">
        <v>149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5"/>
      <c r="B2" s="25"/>
      <c r="C2" s="28" t="s">
        <v>150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5"/>
      <c r="B4" s="29" t="s">
        <v>151</v>
      </c>
      <c r="C4" s="30"/>
      <c r="D4" s="30"/>
      <c r="E4" s="30"/>
      <c r="F4" s="31"/>
      <c r="G4" s="25"/>
      <c r="H4" s="25"/>
      <c r="I4" s="29" t="s">
        <v>152</v>
      </c>
      <c r="J4" s="30"/>
      <c r="K4" s="30"/>
      <c r="L4" s="30"/>
      <c r="M4" s="31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5"/>
      <c r="B5" s="32"/>
      <c r="C5" s="33"/>
      <c r="D5" s="33"/>
      <c r="E5" s="33"/>
      <c r="F5" s="34"/>
      <c r="G5" s="25"/>
      <c r="H5" s="25"/>
      <c r="I5" s="32"/>
      <c r="J5" s="33"/>
      <c r="K5" s="33"/>
      <c r="L5" s="33"/>
      <c r="M5" s="34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5"/>
      <c r="B6" s="35" t="s">
        <v>153</v>
      </c>
      <c r="C6" s="35" t="s">
        <v>154</v>
      </c>
      <c r="D6" s="35" t="s">
        <v>153</v>
      </c>
      <c r="E6" s="35" t="s">
        <v>153</v>
      </c>
      <c r="F6" s="35" t="s">
        <v>153</v>
      </c>
      <c r="G6" s="25"/>
      <c r="H6" s="25"/>
      <c r="I6" s="36"/>
      <c r="J6" s="36"/>
      <c r="K6" s="36"/>
      <c r="L6" s="36"/>
      <c r="M6" s="36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5"/>
      <c r="B7" s="37" t="s">
        <v>155</v>
      </c>
      <c r="C7" s="37" t="s">
        <v>156</v>
      </c>
      <c r="D7" s="37" t="s">
        <v>157</v>
      </c>
      <c r="E7" s="37" t="s">
        <v>158</v>
      </c>
      <c r="F7" s="37" t="s">
        <v>159</v>
      </c>
      <c r="G7" s="26" t="s">
        <v>160</v>
      </c>
      <c r="H7" s="25"/>
      <c r="I7" s="37" t="s">
        <v>155</v>
      </c>
      <c r="J7" s="37" t="s">
        <v>156</v>
      </c>
      <c r="K7" s="37" t="s">
        <v>157</v>
      </c>
      <c r="L7" s="37" t="s">
        <v>158</v>
      </c>
      <c r="M7" s="37" t="s">
        <v>159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5"/>
      <c r="B8" s="38" t="s">
        <v>15</v>
      </c>
      <c r="C8" s="38" t="s">
        <v>161</v>
      </c>
      <c r="D8" s="38" t="s">
        <v>162</v>
      </c>
      <c r="E8" s="38" t="s">
        <v>15</v>
      </c>
      <c r="F8" s="39" t="s">
        <v>33</v>
      </c>
      <c r="G8" s="25"/>
      <c r="H8" s="25"/>
      <c r="I8" s="40" t="s">
        <v>163</v>
      </c>
      <c r="J8" s="41" t="s">
        <v>164</v>
      </c>
      <c r="K8" s="41"/>
      <c r="L8" s="41"/>
      <c r="M8" s="42" t="s">
        <v>165</v>
      </c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5"/>
      <c r="B9" s="38" t="s">
        <v>166</v>
      </c>
      <c r="C9" s="38" t="s">
        <v>166</v>
      </c>
      <c r="D9" s="38" t="s">
        <v>166</v>
      </c>
      <c r="E9" s="38" t="s">
        <v>48</v>
      </c>
      <c r="F9" s="38" t="s">
        <v>167</v>
      </c>
      <c r="G9" s="25"/>
      <c r="H9" s="25"/>
      <c r="I9" s="41" t="s">
        <v>165</v>
      </c>
      <c r="J9" s="41"/>
      <c r="K9" s="41"/>
      <c r="L9" s="41"/>
      <c r="M9" s="42" t="s">
        <v>164</v>
      </c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5"/>
      <c r="B10" s="38" t="s">
        <v>48</v>
      </c>
      <c r="C10" s="39" t="s">
        <v>168</v>
      </c>
      <c r="D10" s="39" t="s">
        <v>33</v>
      </c>
      <c r="E10" s="43" t="s">
        <v>169</v>
      </c>
      <c r="F10" s="44" t="s">
        <v>170</v>
      </c>
      <c r="G10" s="25"/>
      <c r="H10" s="25"/>
      <c r="I10" s="41"/>
      <c r="J10" s="41"/>
      <c r="K10" s="41"/>
      <c r="L10" s="41"/>
      <c r="M10" s="41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"/>
      <c r="B11" s="39" t="s">
        <v>56</v>
      </c>
      <c r="C11" s="38" t="s">
        <v>40</v>
      </c>
      <c r="D11" s="38" t="s">
        <v>40</v>
      </c>
      <c r="E11" s="38" t="s">
        <v>62</v>
      </c>
      <c r="F11" s="43" t="s">
        <v>115</v>
      </c>
      <c r="G11" s="25"/>
      <c r="H11" s="25"/>
      <c r="I11" s="41"/>
      <c r="J11" s="41"/>
      <c r="K11" s="41"/>
      <c r="L11" s="41"/>
      <c r="M11" s="41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/>
      <c r="B12" s="38" t="s">
        <v>78</v>
      </c>
      <c r="C12" s="38" t="s">
        <v>171</v>
      </c>
      <c r="D12" s="38" t="s">
        <v>48</v>
      </c>
      <c r="E12" s="38" t="s">
        <v>93</v>
      </c>
      <c r="F12" s="45"/>
      <c r="G12" s="25"/>
      <c r="H12" s="25"/>
      <c r="I12" s="41"/>
      <c r="J12" s="41"/>
      <c r="K12" s="41"/>
      <c r="L12" s="41"/>
      <c r="M12" s="41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/>
      <c r="B13" s="38" t="s">
        <v>85</v>
      </c>
      <c r="C13" s="39" t="s">
        <v>56</v>
      </c>
      <c r="D13" s="43" t="s">
        <v>172</v>
      </c>
      <c r="E13" s="46"/>
      <c r="F13" s="45"/>
      <c r="G13" s="25"/>
      <c r="H13" s="25"/>
      <c r="I13" s="41"/>
      <c r="J13" s="41"/>
      <c r="K13" s="41"/>
      <c r="L13" s="41"/>
      <c r="M13" s="41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/>
      <c r="B14" s="38" t="s">
        <v>93</v>
      </c>
      <c r="C14" s="38" t="s">
        <v>167</v>
      </c>
      <c r="D14" s="38" t="s">
        <v>62</v>
      </c>
      <c r="E14" s="39"/>
      <c r="F14" s="45"/>
      <c r="G14" s="25"/>
      <c r="H14" s="25"/>
      <c r="I14" s="41"/>
      <c r="J14" s="41"/>
      <c r="K14" s="41"/>
      <c r="L14" s="41"/>
      <c r="M14" s="41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/>
      <c r="B15" s="38" t="s">
        <v>170</v>
      </c>
      <c r="C15" s="38" t="s">
        <v>70</v>
      </c>
      <c r="D15" s="38" t="s">
        <v>70</v>
      </c>
      <c r="E15" s="39"/>
      <c r="F15" s="45"/>
      <c r="G15" s="25"/>
      <c r="H15" s="25"/>
      <c r="I15" s="41"/>
      <c r="J15" s="41"/>
      <c r="K15" s="41"/>
      <c r="L15" s="41"/>
      <c r="M15" s="41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/>
      <c r="B16" s="39" t="s">
        <v>115</v>
      </c>
      <c r="C16" s="38" t="s">
        <v>78</v>
      </c>
      <c r="D16" s="38" t="s">
        <v>85</v>
      </c>
      <c r="E16" s="45"/>
      <c r="F16" s="45"/>
      <c r="G16" s="25"/>
      <c r="H16" s="25"/>
      <c r="I16" s="41"/>
      <c r="J16" s="41"/>
      <c r="K16" s="41"/>
      <c r="L16" s="41"/>
      <c r="M16" s="41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/>
      <c r="B17" s="38" t="s">
        <v>173</v>
      </c>
      <c r="C17" s="38" t="s">
        <v>85</v>
      </c>
      <c r="D17" s="38" t="s">
        <v>93</v>
      </c>
      <c r="E17" s="45"/>
      <c r="F17" s="45"/>
      <c r="G17" s="25"/>
      <c r="H17" s="25"/>
      <c r="I17" s="41"/>
      <c r="J17" s="41"/>
      <c r="K17" s="41"/>
      <c r="L17" s="41"/>
      <c r="M17" s="41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45"/>
      <c r="C18" s="38" t="s">
        <v>93</v>
      </c>
      <c r="D18" s="38" t="s">
        <v>170</v>
      </c>
      <c r="E18" s="45"/>
      <c r="F18" s="45"/>
      <c r="G18" s="25"/>
      <c r="H18" s="25"/>
      <c r="I18" s="41"/>
      <c r="J18" s="41"/>
      <c r="K18" s="41"/>
      <c r="L18" s="41"/>
      <c r="M18" s="41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45"/>
      <c r="C19" s="38" t="s">
        <v>170</v>
      </c>
      <c r="D19" s="38" t="s">
        <v>108</v>
      </c>
      <c r="E19" s="45"/>
      <c r="F19" s="45"/>
      <c r="G19" s="25"/>
      <c r="H19" s="25"/>
      <c r="I19" s="41"/>
      <c r="J19" s="41"/>
      <c r="K19" s="41"/>
      <c r="L19" s="41"/>
      <c r="M19" s="41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45"/>
      <c r="C20" s="38" t="s">
        <v>174</v>
      </c>
      <c r="D20" s="39" t="s">
        <v>115</v>
      </c>
      <c r="E20" s="45"/>
      <c r="F20" s="45"/>
      <c r="G20" s="25"/>
      <c r="H20" s="25"/>
      <c r="I20" s="41"/>
      <c r="J20" s="41"/>
      <c r="K20" s="41"/>
      <c r="L20" s="41"/>
      <c r="M20" s="41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/>
      <c r="B21" s="45"/>
      <c r="C21" s="39" t="s">
        <v>115</v>
      </c>
      <c r="D21" s="38" t="s">
        <v>122</v>
      </c>
      <c r="E21" s="45"/>
      <c r="F21" s="45"/>
      <c r="G21" s="25"/>
      <c r="H21" s="25"/>
      <c r="I21" s="41"/>
      <c r="J21" s="41"/>
      <c r="K21" s="41"/>
      <c r="L21" s="41"/>
      <c r="M21" s="41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5"/>
      <c r="B22" s="45"/>
      <c r="C22" s="38" t="s">
        <v>175</v>
      </c>
      <c r="D22" s="38" t="s">
        <v>165</v>
      </c>
      <c r="E22" s="45"/>
      <c r="F22" s="45"/>
      <c r="G22" s="25"/>
      <c r="H22" s="25"/>
      <c r="I22" s="41"/>
      <c r="J22" s="41"/>
      <c r="K22" s="41"/>
      <c r="L22" s="41"/>
      <c r="M22" s="41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B23" s="45"/>
      <c r="C23" s="38" t="s">
        <v>173</v>
      </c>
      <c r="D23" s="39" t="s">
        <v>176</v>
      </c>
      <c r="E23" s="45"/>
      <c r="F23" s="45"/>
      <c r="G23" s="25"/>
      <c r="H23" s="25"/>
      <c r="I23" s="41"/>
      <c r="J23" s="41"/>
      <c r="K23" s="41"/>
      <c r="L23" s="41"/>
      <c r="M23" s="41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B24" s="45"/>
      <c r="C24" s="38" t="s">
        <v>165</v>
      </c>
      <c r="D24" s="45"/>
      <c r="E24" s="45"/>
      <c r="F24" s="45"/>
      <c r="G24" s="25"/>
      <c r="H24" s="25"/>
      <c r="I24" s="41"/>
      <c r="J24" s="41"/>
      <c r="K24" s="41"/>
      <c r="L24" s="41"/>
      <c r="M24" s="41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/>
      <c r="B25" s="45"/>
      <c r="C25" s="39" t="s">
        <v>176</v>
      </c>
      <c r="D25" s="45"/>
      <c r="E25" s="45"/>
      <c r="F25" s="45"/>
      <c r="G25" s="25"/>
      <c r="H25" s="25"/>
      <c r="I25" s="41"/>
      <c r="J25" s="41"/>
      <c r="K25" s="41"/>
      <c r="L25" s="41"/>
      <c r="M25" s="41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B26" s="47"/>
      <c r="C26" s="25"/>
      <c r="D26" s="25"/>
      <c r="E26" s="47"/>
      <c r="F26" s="47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48" t="s">
        <v>177</v>
      </c>
      <c r="B27" s="49">
        <f t="shared" ref="B27:F27" si="1">countA(B8:B25)</f>
        <v>10</v>
      </c>
      <c r="C27" s="49">
        <f t="shared" si="1"/>
        <v>18</v>
      </c>
      <c r="D27" s="49">
        <f t="shared" si="1"/>
        <v>16</v>
      </c>
      <c r="E27" s="49">
        <f t="shared" si="1"/>
        <v>5</v>
      </c>
      <c r="F27" s="49">
        <f t="shared" si="1"/>
        <v>4</v>
      </c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48" t="s">
        <v>178</v>
      </c>
      <c r="B28" s="49">
        <v>10.0</v>
      </c>
      <c r="C28" s="49">
        <v>18.0</v>
      </c>
      <c r="D28" s="49">
        <v>16.0</v>
      </c>
      <c r="E28" s="49">
        <v>8.0</v>
      </c>
      <c r="F28" s="49">
        <v>4.0</v>
      </c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25"/>
      <c r="C30" s="25"/>
      <c r="D30" s="25"/>
      <c r="E30" s="26" t="s">
        <v>179</v>
      </c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  <row r="100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</row>
  </sheetData>
  <mergeCells count="2">
    <mergeCell ref="B4:F5"/>
    <mergeCell ref="I4:M5"/>
  </mergeCells>
  <drawing r:id="rId1"/>
</worksheet>
</file>